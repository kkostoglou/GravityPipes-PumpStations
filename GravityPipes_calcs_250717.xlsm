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/>
  <mc:AlternateContent xmlns:mc="http://schemas.openxmlformats.org/markup-compatibility/2006">
    <mc:Choice Requires="x15">
      <x15ac:absPath xmlns:x15ac="http://schemas.microsoft.com/office/spreadsheetml/2010/11/ac" url="D:\KostasMy\MySite\GitHub\GravityPipes&amp;PumpStations\"/>
    </mc:Choice>
  </mc:AlternateContent>
  <xr:revisionPtr revIDLastSave="0" documentId="13_ncr:1_{35C2DD4E-2E0A-4800-97D2-E3243B1A2AC3}" xr6:coauthVersionLast="47" xr6:coauthVersionMax="47" xr10:uidLastSave="{00000000-0000-0000-0000-000000000000}"/>
  <bookViews>
    <workbookView xWindow="-96" yWindow="-96" windowWidth="23232" windowHeight="12432" tabRatio="751" xr2:uid="{00000000-000D-0000-FFFF-FFFF00000000}"/>
  </bookViews>
  <sheets>
    <sheet name="LinesSizing" sheetId="5" r:id="rId1"/>
    <sheet name="Es" sheetId="8" state="hidden" r:id="rId2"/>
    <sheet name="MaterialModel" sheetId="9" state="hidden" r:id="rId3"/>
  </sheets>
  <definedNames>
    <definedName name="_xleta.TODAY" hidden="1" xlm="1">#NAME?</definedName>
    <definedName name="ListSheets">REPLACE(GET.WORKBOOK(1),1,FIND("]",GET.WORKBOOK(1)),"")</definedName>
    <definedName name="_xlnm.Print_Area" localSheetId="0">LinesSizing!$A$1:$R$34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5" l="1"/>
  <c r="F15" i="5"/>
  <c r="H15" i="5" s="1"/>
  <c r="I15" i="5" s="1"/>
  <c r="K15" i="5" s="1"/>
  <c r="F20" i="5" l="1"/>
  <c r="H20" i="5" s="1"/>
  <c r="I20" i="5" s="1"/>
  <c r="D10" i="5"/>
  <c r="G10" i="5" s="1"/>
  <c r="B15" i="5" s="1"/>
  <c r="F9" i="5"/>
  <c r="D9" i="5"/>
  <c r="F8" i="5"/>
  <c r="D8" i="5"/>
  <c r="B20" i="5" l="1"/>
  <c r="G4" i="5"/>
  <c r="D8" i="9" l="1"/>
  <c r="D12" i="9" l="1"/>
  <c r="D11" i="9"/>
  <c r="D10" i="9"/>
  <c r="D9" i="9"/>
  <c r="D7" i="9"/>
  <c r="BO22" i="8"/>
  <c r="BF22" i="8"/>
  <c r="AW22" i="8"/>
  <c r="AN22" i="8"/>
  <c r="AE22" i="8"/>
  <c r="V22" i="8"/>
  <c r="M22" i="8"/>
  <c r="BO29" i="8"/>
  <c r="BO28" i="8"/>
  <c r="BO27" i="8"/>
  <c r="BO26" i="8"/>
  <c r="BO25" i="8"/>
  <c r="BO24" i="8"/>
  <c r="BO23" i="8"/>
  <c r="BO21" i="8"/>
  <c r="BO20" i="8"/>
  <c r="BO19" i="8"/>
  <c r="BO18" i="8"/>
  <c r="BO17" i="8"/>
  <c r="BF29" i="8"/>
  <c r="BF28" i="8"/>
  <c r="BF27" i="8"/>
  <c r="BF26" i="8"/>
  <c r="BF25" i="8"/>
  <c r="BF24" i="8"/>
  <c r="BF23" i="8"/>
  <c r="BF21" i="8"/>
  <c r="BF20" i="8"/>
  <c r="BF19" i="8"/>
  <c r="BF18" i="8"/>
  <c r="BF17" i="8"/>
  <c r="AW29" i="8"/>
  <c r="AW28" i="8"/>
  <c r="AW27" i="8"/>
  <c r="AW26" i="8"/>
  <c r="AW25" i="8"/>
  <c r="AW24" i="8"/>
  <c r="AW23" i="8"/>
  <c r="AW21" i="8"/>
  <c r="AW20" i="8"/>
  <c r="AW19" i="8"/>
  <c r="AW18" i="8"/>
  <c r="AW17" i="8"/>
  <c r="AN29" i="8"/>
  <c r="AN28" i="8"/>
  <c r="AN27" i="8"/>
  <c r="AN26" i="8"/>
  <c r="AN25" i="8"/>
  <c r="AN24" i="8"/>
  <c r="AN23" i="8"/>
  <c r="AN21" i="8"/>
  <c r="AN20" i="8"/>
  <c r="AN19" i="8"/>
  <c r="AN18" i="8"/>
  <c r="AN17" i="8"/>
  <c r="AE29" i="8"/>
  <c r="AE28" i="8"/>
  <c r="AE27" i="8"/>
  <c r="AE26" i="8"/>
  <c r="AE25" i="8"/>
  <c r="AE24" i="8"/>
  <c r="AE23" i="8"/>
  <c r="AE21" i="8"/>
  <c r="AE20" i="8"/>
  <c r="AE19" i="8"/>
  <c r="AE18" i="8"/>
  <c r="AE17" i="8"/>
  <c r="V29" i="8"/>
  <c r="V28" i="8"/>
  <c r="V27" i="8"/>
  <c r="V26" i="8"/>
  <c r="V25" i="8"/>
  <c r="V24" i="8"/>
  <c r="V23" i="8"/>
  <c r="V21" i="8"/>
  <c r="V20" i="8"/>
  <c r="V19" i="8"/>
  <c r="V18" i="8"/>
  <c r="V17" i="8"/>
  <c r="M29" i="8"/>
  <c r="M28" i="8"/>
  <c r="M27" i="8"/>
  <c r="M26" i="8"/>
  <c r="M25" i="8"/>
  <c r="M24" i="8"/>
  <c r="M23" i="8"/>
  <c r="M21" i="8"/>
  <c r="M20" i="8"/>
  <c r="M19" i="8"/>
  <c r="M18" i="8"/>
  <c r="M17" i="8"/>
  <c r="D29" i="8"/>
  <c r="D24" i="8"/>
  <c r="D25" i="8"/>
  <c r="D26" i="8"/>
  <c r="D27" i="8"/>
  <c r="D28" i="8"/>
  <c r="D23" i="8"/>
  <c r="F20" i="8"/>
  <c r="F21" i="8"/>
  <c r="F22" i="8"/>
  <c r="F18" i="8"/>
  <c r="F19" i="8"/>
  <c r="F17" i="8"/>
  <c r="G22" i="8"/>
  <c r="E23" i="8" l="1"/>
  <c r="F23" i="8" s="1"/>
  <c r="J15" i="5" l="1"/>
  <c r="L15" i="5" l="1"/>
  <c r="J20" i="5" l="1"/>
  <c r="K20" i="5"/>
  <c r="E13" i="9"/>
  <c r="G13" i="9" s="1"/>
  <c r="E12" i="9"/>
  <c r="G12" i="9" s="1"/>
  <c r="E11" i="9"/>
  <c r="E10" i="9"/>
  <c r="E9" i="9"/>
  <c r="E8" i="9"/>
  <c r="G8" i="9" s="1"/>
  <c r="E7" i="9"/>
  <c r="BP29" i="8"/>
  <c r="BQ29" i="8" s="1"/>
  <c r="BG29" i="8"/>
  <c r="BH29" i="8" s="1"/>
  <c r="AX29" i="8"/>
  <c r="AY29" i="8" s="1"/>
  <c r="AO29" i="8"/>
  <c r="AP29" i="8" s="1"/>
  <c r="AF29" i="8"/>
  <c r="AG29" i="8" s="1"/>
  <c r="X29" i="8"/>
  <c r="W29" i="8"/>
  <c r="T29" i="8"/>
  <c r="AC29" i="8" s="1"/>
  <c r="AL29" i="8" s="1"/>
  <c r="AU29" i="8" s="1"/>
  <c r="BD29" i="8" s="1"/>
  <c r="BM29" i="8" s="1"/>
  <c r="N29" i="8"/>
  <c r="O29" i="8" s="1"/>
  <c r="K29" i="8"/>
  <c r="E29" i="8"/>
  <c r="BP28" i="8"/>
  <c r="BQ28" i="8" s="1"/>
  <c r="BG28" i="8"/>
  <c r="BH28" i="8" s="1"/>
  <c r="AX28" i="8"/>
  <c r="AY28" i="8" s="1"/>
  <c r="AO28" i="8"/>
  <c r="AP28" i="8" s="1"/>
  <c r="AL28" i="8"/>
  <c r="AU28" i="8" s="1"/>
  <c r="BD28" i="8" s="1"/>
  <c r="BM28" i="8" s="1"/>
  <c r="AF28" i="8"/>
  <c r="AG28" i="8" s="1"/>
  <c r="AC28" i="8"/>
  <c r="W28" i="8"/>
  <c r="X28" i="8" s="1"/>
  <c r="T28" i="8"/>
  <c r="N28" i="8"/>
  <c r="O28" i="8" s="1"/>
  <c r="K28" i="8"/>
  <c r="E28" i="8"/>
  <c r="F28" i="8" s="1"/>
  <c r="BP27" i="8"/>
  <c r="BQ27" i="8" s="1"/>
  <c r="BG27" i="8"/>
  <c r="BH27" i="8" s="1"/>
  <c r="AX27" i="8"/>
  <c r="AY27" i="8" s="1"/>
  <c r="AO27" i="8"/>
  <c r="AP27" i="8" s="1"/>
  <c r="AF27" i="8"/>
  <c r="AG27" i="8" s="1"/>
  <c r="W27" i="8"/>
  <c r="X27" i="8" s="1"/>
  <c r="N27" i="8"/>
  <c r="O27" i="8" s="1"/>
  <c r="K27" i="8"/>
  <c r="T27" i="8" s="1"/>
  <c r="AC27" i="8" s="1"/>
  <c r="AL27" i="8" s="1"/>
  <c r="AU27" i="8" s="1"/>
  <c r="BD27" i="8" s="1"/>
  <c r="BM27" i="8" s="1"/>
  <c r="E27" i="8"/>
  <c r="F27" i="8" s="1"/>
  <c r="BP26" i="8"/>
  <c r="BQ26" i="8" s="1"/>
  <c r="BG26" i="8"/>
  <c r="BH26" i="8" s="1"/>
  <c r="AX26" i="8"/>
  <c r="AY26" i="8" s="1"/>
  <c r="AZ29" i="8" s="1"/>
  <c r="AO26" i="8"/>
  <c r="AP26" i="8" s="1"/>
  <c r="AF26" i="8"/>
  <c r="AG26" i="8" s="1"/>
  <c r="W26" i="8"/>
  <c r="X26" i="8" s="1"/>
  <c r="N26" i="8"/>
  <c r="O26" i="8" s="1"/>
  <c r="K26" i="8"/>
  <c r="T26" i="8" s="1"/>
  <c r="AC26" i="8" s="1"/>
  <c r="AL26" i="8" s="1"/>
  <c r="AU26" i="8" s="1"/>
  <c r="BD26" i="8" s="1"/>
  <c r="BM26" i="8" s="1"/>
  <c r="E26" i="8"/>
  <c r="F26" i="8" s="1"/>
  <c r="BP25" i="8"/>
  <c r="BQ25" i="8" s="1"/>
  <c r="BG25" i="8"/>
  <c r="BH25" i="8" s="1"/>
  <c r="AX25" i="8"/>
  <c r="AY25" i="8" s="1"/>
  <c r="AO25" i="8"/>
  <c r="AP25" i="8" s="1"/>
  <c r="AF25" i="8"/>
  <c r="AG25" i="8" s="1"/>
  <c r="W25" i="8"/>
  <c r="X25" i="8" s="1"/>
  <c r="N25" i="8"/>
  <c r="O25" i="8" s="1"/>
  <c r="P29" i="8" s="1"/>
  <c r="K25" i="8"/>
  <c r="T25" i="8" s="1"/>
  <c r="AC25" i="8" s="1"/>
  <c r="AL25" i="8" s="1"/>
  <c r="AU25" i="8" s="1"/>
  <c r="BD25" i="8" s="1"/>
  <c r="BM25" i="8" s="1"/>
  <c r="E25" i="8"/>
  <c r="F25" i="8" s="1"/>
  <c r="BP24" i="8"/>
  <c r="BQ24" i="8" s="1"/>
  <c r="BR29" i="8" s="1"/>
  <c r="BG24" i="8"/>
  <c r="BH24" i="8" s="1"/>
  <c r="AX24" i="8"/>
  <c r="AY24" i="8" s="1"/>
  <c r="AO24" i="8"/>
  <c r="AP24" i="8" s="1"/>
  <c r="AF24" i="8"/>
  <c r="AG24" i="8" s="1"/>
  <c r="W24" i="8"/>
  <c r="X24" i="8" s="1"/>
  <c r="T24" i="8"/>
  <c r="AC24" i="8" s="1"/>
  <c r="AL24" i="8" s="1"/>
  <c r="AU24" i="8" s="1"/>
  <c r="BD24" i="8" s="1"/>
  <c r="BM24" i="8" s="1"/>
  <c r="N24" i="8"/>
  <c r="O24" i="8" s="1"/>
  <c r="K24" i="8"/>
  <c r="E24" i="8"/>
  <c r="F24" i="8" s="1"/>
  <c r="BP23" i="8"/>
  <c r="BQ23" i="8" s="1"/>
  <c r="BR23" i="8" s="1"/>
  <c r="BG23" i="8"/>
  <c r="BH23" i="8" s="1"/>
  <c r="AX23" i="8"/>
  <c r="AY23" i="8" s="1"/>
  <c r="AO23" i="8"/>
  <c r="AP23" i="8" s="1"/>
  <c r="AF23" i="8"/>
  <c r="AG23" i="8" s="1"/>
  <c r="W23" i="8"/>
  <c r="X23" i="8" s="1"/>
  <c r="N23" i="8"/>
  <c r="O23" i="8" s="1"/>
  <c r="K23" i="8"/>
  <c r="T23" i="8" s="1"/>
  <c r="AC23" i="8" s="1"/>
  <c r="AL23" i="8" s="1"/>
  <c r="AU23" i="8" s="1"/>
  <c r="BD23" i="8" s="1"/>
  <c r="BM23" i="8" s="1"/>
  <c r="G25" i="8"/>
  <c r="BP22" i="8"/>
  <c r="BQ22" i="8" s="1"/>
  <c r="BR22" i="8" s="1"/>
  <c r="BG22" i="8"/>
  <c r="BH22" i="8" s="1"/>
  <c r="AX22" i="8"/>
  <c r="AY22" i="8" s="1"/>
  <c r="AO22" i="8"/>
  <c r="AP22" i="8" s="1"/>
  <c r="AF22" i="8"/>
  <c r="AG22" i="8" s="1"/>
  <c r="W22" i="8"/>
  <c r="X22" i="8" s="1"/>
  <c r="Y25" i="8" s="1"/>
  <c r="T22" i="8"/>
  <c r="AC22" i="8" s="1"/>
  <c r="AL22" i="8" s="1"/>
  <c r="AU22" i="8" s="1"/>
  <c r="BD22" i="8" s="1"/>
  <c r="BM22" i="8" s="1"/>
  <c r="N22" i="8"/>
  <c r="O22" i="8" s="1"/>
  <c r="K22" i="8"/>
  <c r="D22" i="8"/>
  <c r="E22" i="8" s="1"/>
  <c r="BP21" i="8"/>
  <c r="BQ21" i="8" s="1"/>
  <c r="BG21" i="8"/>
  <c r="BH21" i="8" s="1"/>
  <c r="AX21" i="8"/>
  <c r="AY21" i="8" s="1"/>
  <c r="AO21" i="8"/>
  <c r="AP21" i="8" s="1"/>
  <c r="AF21" i="8"/>
  <c r="AG21" i="8" s="1"/>
  <c r="W21" i="8"/>
  <c r="X21" i="8" s="1"/>
  <c r="T21" i="8"/>
  <c r="AC21" i="8" s="1"/>
  <c r="AL21" i="8" s="1"/>
  <c r="AU21" i="8" s="1"/>
  <c r="BD21" i="8" s="1"/>
  <c r="BM21" i="8" s="1"/>
  <c r="N21" i="8"/>
  <c r="O21" i="8" s="1"/>
  <c r="K21" i="8"/>
  <c r="E21" i="8"/>
  <c r="D21" i="8"/>
  <c r="BP20" i="8"/>
  <c r="BQ20" i="8" s="1"/>
  <c r="BG20" i="8"/>
  <c r="BH20" i="8" s="1"/>
  <c r="AX20" i="8"/>
  <c r="AY20" i="8" s="1"/>
  <c r="AZ21" i="8" s="1"/>
  <c r="AO20" i="8"/>
  <c r="AP20" i="8" s="1"/>
  <c r="AQ21" i="8" s="1"/>
  <c r="AF20" i="8"/>
  <c r="AG20" i="8" s="1"/>
  <c r="AH21" i="8" s="1"/>
  <c r="AC20" i="8"/>
  <c r="AL20" i="8" s="1"/>
  <c r="AU20" i="8" s="1"/>
  <c r="BD20" i="8" s="1"/>
  <c r="BM20" i="8" s="1"/>
  <c r="W20" i="8"/>
  <c r="X20" i="8" s="1"/>
  <c r="T20" i="8"/>
  <c r="N20" i="8"/>
  <c r="O20" i="8" s="1"/>
  <c r="K20" i="8"/>
  <c r="E20" i="8"/>
  <c r="D20" i="8"/>
  <c r="BP19" i="8"/>
  <c r="BQ19" i="8" s="1"/>
  <c r="BG19" i="8"/>
  <c r="BH19" i="8" s="1"/>
  <c r="AX19" i="8"/>
  <c r="AY19" i="8" s="1"/>
  <c r="AZ19" i="8" s="1"/>
  <c r="AO19" i="8"/>
  <c r="AP19" i="8" s="1"/>
  <c r="AQ19" i="8" s="1"/>
  <c r="AF19" i="8"/>
  <c r="AG19" i="8" s="1"/>
  <c r="AH19" i="8" s="1"/>
  <c r="W19" i="8"/>
  <c r="X19" i="8" s="1"/>
  <c r="Y19" i="8" s="1"/>
  <c r="N19" i="8"/>
  <c r="O19" i="8" s="1"/>
  <c r="K19" i="8"/>
  <c r="T19" i="8" s="1"/>
  <c r="AC19" i="8" s="1"/>
  <c r="AL19" i="8" s="1"/>
  <c r="AU19" i="8" s="1"/>
  <c r="BD19" i="8" s="1"/>
  <c r="BM19" i="8" s="1"/>
  <c r="D19" i="8"/>
  <c r="E19" i="8" s="1"/>
  <c r="BP18" i="8"/>
  <c r="BQ18" i="8" s="1"/>
  <c r="BG18" i="8"/>
  <c r="BH18" i="8" s="1"/>
  <c r="AX18" i="8"/>
  <c r="AY18" i="8" s="1"/>
  <c r="AO18" i="8"/>
  <c r="AP18" i="8" s="1"/>
  <c r="AF18" i="8"/>
  <c r="AG18" i="8" s="1"/>
  <c r="W18" i="8"/>
  <c r="X18" i="8" s="1"/>
  <c r="N18" i="8"/>
  <c r="O18" i="8" s="1"/>
  <c r="K18" i="8"/>
  <c r="T18" i="8" s="1"/>
  <c r="AC18" i="8" s="1"/>
  <c r="AL18" i="8" s="1"/>
  <c r="AU18" i="8" s="1"/>
  <c r="BD18" i="8" s="1"/>
  <c r="BM18" i="8" s="1"/>
  <c r="D18" i="8"/>
  <c r="E18" i="8" s="1"/>
  <c r="BP17" i="8"/>
  <c r="BQ17" i="8" s="1"/>
  <c r="BG17" i="8"/>
  <c r="BH17" i="8" s="1"/>
  <c r="AX17" i="8"/>
  <c r="AY17" i="8" s="1"/>
  <c r="AO17" i="8"/>
  <c r="AP17" i="8" s="1"/>
  <c r="AF17" i="8"/>
  <c r="AG17" i="8" s="1"/>
  <c r="W17" i="8"/>
  <c r="X17" i="8" s="1"/>
  <c r="N17" i="8"/>
  <c r="O17" i="8" s="1"/>
  <c r="K17" i="8"/>
  <c r="T17" i="8" s="1"/>
  <c r="AC17" i="8" s="1"/>
  <c r="AL17" i="8" s="1"/>
  <c r="AU17" i="8" s="1"/>
  <c r="BD17" i="8" s="1"/>
  <c r="BM17" i="8" s="1"/>
  <c r="D17" i="8"/>
  <c r="E17" i="8" s="1"/>
  <c r="L20" i="5" l="1"/>
  <c r="M20" i="5" s="1"/>
  <c r="BI29" i="8"/>
  <c r="BI25" i="8"/>
  <c r="BI21" i="8"/>
  <c r="AZ25" i="8"/>
  <c r="AQ25" i="8"/>
  <c r="AH29" i="8"/>
  <c r="AH24" i="8"/>
  <c r="AH26" i="8"/>
  <c r="Y29" i="8"/>
  <c r="P24" i="8"/>
  <c r="BV20" i="8" s="1"/>
  <c r="F29" i="8"/>
  <c r="G29" i="8" s="1"/>
  <c r="G28" i="8"/>
  <c r="F8" i="9"/>
  <c r="F12" i="9"/>
  <c r="G7" i="9"/>
  <c r="F7" i="9"/>
  <c r="G10" i="9"/>
  <c r="F10" i="9"/>
  <c r="F9" i="9"/>
  <c r="G9" i="9"/>
  <c r="G11" i="9"/>
  <c r="F11" i="9"/>
  <c r="F13" i="9"/>
  <c r="AQ29" i="8"/>
  <c r="BI27" i="8"/>
  <c r="BR21" i="8"/>
  <c r="P21" i="8"/>
  <c r="AQ18" i="8"/>
  <c r="Y18" i="8"/>
  <c r="AH18" i="8"/>
  <c r="Y21" i="8"/>
  <c r="BV19" i="8" s="1"/>
  <c r="AZ18" i="8"/>
  <c r="N20" i="5" l="1"/>
  <c r="O20" i="5"/>
  <c r="P20" i="5" s="1"/>
  <c r="BV22" i="8"/>
  <c r="BV23" i="8"/>
  <c r="BV17" i="8"/>
</calcChain>
</file>

<file path=xl/sharedStrings.xml><?xml version="1.0" encoding="utf-8"?>
<sst xmlns="http://schemas.openxmlformats.org/spreadsheetml/2006/main" count="218" uniqueCount="123">
  <si>
    <t xml:space="preserve">Pipe Slope  (m/m)  </t>
  </si>
  <si>
    <t xml:space="preserve">Manning rough. coeff n </t>
  </si>
  <si>
    <t>Velocity (m/s)</t>
  </si>
  <si>
    <t>Check Flow Velocity  to be between 1 and 3.5 (m/s)</t>
  </si>
  <si>
    <t>Check pipe capacity</t>
  </si>
  <si>
    <t>Line</t>
  </si>
  <si>
    <t>L1</t>
  </si>
  <si>
    <t>Discharge pipes drainage sizing</t>
  </si>
  <si>
    <t>STP and Young Modulus (Es) correlation</t>
  </si>
  <si>
    <t>Geotechnical report, Para. 9.1</t>
  </si>
  <si>
    <t>F=Es/N</t>
  </si>
  <si>
    <t>Es in kg/cm2</t>
  </si>
  <si>
    <t>OR</t>
  </si>
  <si>
    <t>F=100xEs/N</t>
  </si>
  <si>
    <t>Soil Type</t>
  </si>
  <si>
    <t>F</t>
  </si>
  <si>
    <t>Silts, sands silts, slightly cohesive silt-sand mixed</t>
  </si>
  <si>
    <t>Clean, fine to med, sands &amp; slightly silty sands</t>
  </si>
  <si>
    <t>Corse sands &amp; sands with little gravel</t>
  </si>
  <si>
    <t>Sandy gravels and gravels</t>
  </si>
  <si>
    <t>Modulus of Elasticity Es</t>
  </si>
  <si>
    <t>GEO report p.14</t>
  </si>
  <si>
    <t>Borehole</t>
  </si>
  <si>
    <t>Depth (m)</t>
  </si>
  <si>
    <t>SPT (N)</t>
  </si>
  <si>
    <t>Es=F*N (kg/cm2)</t>
  </si>
  <si>
    <t>Es (kN/m2)</t>
  </si>
  <si>
    <t>AVERAGE E (kN/m2)</t>
  </si>
  <si>
    <t>Soil type</t>
  </si>
  <si>
    <t>φ</t>
  </si>
  <si>
    <t>γ</t>
  </si>
  <si>
    <t>B1</t>
  </si>
  <si>
    <t>SILTY SAND with gravel. Very loose to loose, grayish black, dry to wet</t>
  </si>
  <si>
    <t>B2</t>
  </si>
  <si>
    <t>Β3</t>
  </si>
  <si>
    <t>Β4</t>
  </si>
  <si>
    <t>Β5</t>
  </si>
  <si>
    <t>SILTY SAND with gravel. Very loose, grayish black, dry to wet</t>
  </si>
  <si>
    <t>Β6</t>
  </si>
  <si>
    <t>Β7</t>
  </si>
  <si>
    <t>SILTY SAND with gravel and coral fragments. Very loose to medium dense, grayish black, dry to wet</t>
  </si>
  <si>
    <t>Β8</t>
  </si>
  <si>
    <t>SILTY SAND with gravel and coral fragments. Very, grayish black, dry to wet</t>
  </si>
  <si>
    <t>CLAYEY CORALLINE SAND, very loose gray wet</t>
  </si>
  <si>
    <t>SILTY CORALLINE SAND, with coral fragments loose grayish black</t>
  </si>
  <si>
    <t>SILTY CORALLINE SAND with coral fragments. Loose grayish black, wet</t>
  </si>
  <si>
    <t>CLAYEY SAND, Medium dense to dense, brown, wet</t>
  </si>
  <si>
    <t>CLAYEY SAND, medium dense to dense, brown, wet</t>
  </si>
  <si>
    <t>CALCAREOUS SILTY CLAYEY SAND. Medium dense to dense, light brown, wet</t>
  </si>
  <si>
    <t>SILTY SAND dense to very dense, brown wet</t>
  </si>
  <si>
    <t>SILTY SAND Dense. brown wet</t>
  </si>
  <si>
    <t>SILTY CLAYEY SAND. Medium dense to very dense brown, wet</t>
  </si>
  <si>
    <t>SANDY/LEAN CLAY with sand. Hard, brown, wet</t>
  </si>
  <si>
    <t>SILTY SAND. Dense, brown, wet</t>
  </si>
  <si>
    <t>SANDY/LEAN CLAY with sand and calcareous sediments. Hard, brown to light brown, wet</t>
  </si>
  <si>
    <t>SANDY/LEAN CLAY with sand and calcereous fragments, hard, light brown to brown, wet</t>
  </si>
  <si>
    <t>Soil report: p.107</t>
  </si>
  <si>
    <t>Mechanical</t>
  </si>
  <si>
    <t>Interfaces</t>
  </si>
  <si>
    <t>Initial</t>
  </si>
  <si>
    <t>γ unsat
Dry density kN/m3</t>
  </si>
  <si>
    <t>E
(kN/m2)</t>
  </si>
  <si>
    <t>E50ref
(kN/m2)</t>
  </si>
  <si>
    <t>Eoed ref
(kN/m2)</t>
  </si>
  <si>
    <t>Eur ref
(kN/m2)</t>
  </si>
  <si>
    <t>Poisson's ratio (ν'ur)</t>
  </si>
  <si>
    <t>Power for stress level dependency of stiffness</t>
  </si>
  <si>
    <t>Cohesion
c'ref
(kN/m2)</t>
  </si>
  <si>
    <t>Friction angle
φ' (phi)</t>
  </si>
  <si>
    <t>Dilatancy angle
ψ</t>
  </si>
  <si>
    <t>Interface reduction factor
(Rinter)</t>
  </si>
  <si>
    <t>Pre-overburden pressure 
(POP)</t>
  </si>
  <si>
    <t>Over-consolidation ratio
(OCR)</t>
  </si>
  <si>
    <t>Silty sand with gravel</t>
  </si>
  <si>
    <t xml:space="preserve">Silty Coralline Sand </t>
  </si>
  <si>
    <t>Clayey/Silty sand</t>
  </si>
  <si>
    <t>Silty sand</t>
  </si>
  <si>
    <t>Sandy Clay</t>
  </si>
  <si>
    <t xml:space="preserve">Clayey Sand with gravel </t>
  </si>
  <si>
    <t>Clay</t>
  </si>
  <si>
    <t>Pipe hydraulic radius Rh(m)=A/P</t>
  </si>
  <si>
    <t>Q(m3/s)=V*A</t>
  </si>
  <si>
    <t>h (m)</t>
  </si>
  <si>
    <r>
      <t>Pipe Capacity Qc (m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/s)</t>
    </r>
  </si>
  <si>
    <t xml:space="preserve">  θ (rad)= 2*arccos((r-h)/r) </t>
  </si>
  <si>
    <t>Velocity of flow V(m/s)= (1/n)((R)^2/3)(S^1/2</t>
  </si>
  <si>
    <r>
      <t>Total pumping Flow  Qa (m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/s)</t>
    </r>
  </si>
  <si>
    <t>Full pipe 100%</t>
  </si>
  <si>
    <t>Es=F*N/100 (kN/m2=kPa)</t>
  </si>
  <si>
    <t>Es in kN/m2 (kPa)</t>
  </si>
  <si>
    <t>Gravity Sorm/Water line</t>
  </si>
  <si>
    <t>Location</t>
  </si>
  <si>
    <t>Discharge</t>
  </si>
  <si>
    <t>Catchment Area</t>
  </si>
  <si>
    <t>Drainage Area A (ha)</t>
  </si>
  <si>
    <t>CA  (ha)</t>
  </si>
  <si>
    <t>Time of Concentration (TOC) (min)</t>
  </si>
  <si>
    <t>Rainfall Intensity  (mm/hr)</t>
  </si>
  <si>
    <t>Runoff (m3/s)</t>
  </si>
  <si>
    <t>CATCHMENT AREAS FLOW</t>
  </si>
  <si>
    <t>CATCHMENT</t>
  </si>
  <si>
    <t>C1</t>
  </si>
  <si>
    <t>Pipe Dia.   (mm)</t>
  </si>
  <si>
    <t>Runoff Coeff. C</t>
  </si>
  <si>
    <t>Q = discharge (m³/s)</t>
  </si>
  <si>
    <t>P = wetted perimeter (m) =πD</t>
  </si>
  <si>
    <r>
      <t>A = cross-sectional flow area (m²) = πD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178"/>
        <scheme val="minor"/>
      </rPr>
      <t>/4</t>
    </r>
  </si>
  <si>
    <t>Where</t>
  </si>
  <si>
    <t>n = Manning’s roughness coefficient
S = Slope
R = hydraulic radius = A/P (m) =πD2/4/πD=D/4</t>
  </si>
  <si>
    <t>r = D/2 (m)
y = 0.70D
h = y (m)</t>
  </si>
  <si>
    <t>Partially Full Pipe</t>
  </si>
  <si>
    <t>Radius (m)</t>
  </si>
  <si>
    <t>Partial Fullness d/D</t>
  </si>
  <si>
    <t>Flow area A(m2)= [πr^2]-r^2( θ-sinθ)/2</t>
  </si>
  <si>
    <t>y = %D</t>
  </si>
  <si>
    <t>h = 2r-y</t>
  </si>
  <si>
    <t>D=2r</t>
  </si>
  <si>
    <t>Wetted perimeter P(m)= [2πr]-r*θ</t>
  </si>
  <si>
    <r>
      <t>Area A = πD</t>
    </r>
    <r>
      <rPr>
        <b/>
        <vertAlign val="superscript"/>
        <sz val="10"/>
        <color theme="1"/>
        <rFont val="Calibri"/>
        <family val="2"/>
        <scheme val="minor"/>
      </rPr>
      <t>2</t>
    </r>
    <r>
      <rPr>
        <b/>
        <sz val="10"/>
        <color theme="1"/>
        <rFont val="Calibri"/>
        <family val="2"/>
        <scheme val="minor"/>
      </rPr>
      <t>/4(m2)</t>
    </r>
  </si>
  <si>
    <t>Perimeter P = πD (m)</t>
  </si>
  <si>
    <t>R=A/P = D/4 (m)</t>
  </si>
  <si>
    <t>h = y</t>
  </si>
  <si>
    <t>Project: Pipes infrastructure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</si>
</sst>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_(* #,##0_);_(* \(#,##0\);_(* &quot;-&quot;??_);_(@_)"/>
    <numFmt numFmtId="166" formatCode="0.0000"/>
    <numFmt numFmtId="167" formatCode="[$-409]d\-mmm\-yy;@"/>
    <numFmt numFmtId="168" formatCode="0.0"/>
  </numFmts>
  <fonts count="27"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78"/>
      <scheme val="minor"/>
    </font>
    <font>
      <sz val="10"/>
      <color theme="1"/>
      <name val="Calibri"/>
      <family val="2"/>
      <charset val="178"/>
      <scheme val="minor"/>
    </font>
    <font>
      <sz val="11"/>
      <color rgb="FF00B050"/>
      <name val="Calibri"/>
      <family val="2"/>
      <charset val="178"/>
      <scheme val="minor"/>
    </font>
    <font>
      <sz val="11"/>
      <color theme="5"/>
      <name val="Calibri"/>
      <family val="2"/>
      <charset val="178"/>
      <scheme val="minor"/>
    </font>
    <font>
      <sz val="11"/>
      <color rgb="FF7030A0"/>
      <name val="Calibri"/>
      <family val="2"/>
      <charset val="178"/>
      <scheme val="minor"/>
    </font>
    <font>
      <sz val="13"/>
      <color theme="1"/>
      <name val="Times New Roman"/>
      <family val="1"/>
    </font>
    <font>
      <sz val="11"/>
      <color theme="1"/>
      <name val="Arial"/>
      <family val="2"/>
    </font>
    <font>
      <b/>
      <u/>
      <sz val="10"/>
      <name val="SWISS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  <charset val="178"/>
      <scheme val="minor"/>
    </font>
    <font>
      <b/>
      <sz val="12"/>
      <color rgb="FFFF0000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rgb="FF00B050"/>
      <name val="Arial"/>
      <family val="2"/>
    </font>
    <font>
      <vertAlign val="superscript"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1" xfId="0" applyFill="1" applyBorder="1" applyAlignment="1">
      <alignment vertical="top"/>
    </xf>
    <xf numFmtId="0" fontId="0" fillId="2" borderId="12" xfId="0" applyFill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3" xfId="0" applyBorder="1" applyAlignment="1">
      <alignment vertical="top"/>
    </xf>
    <xf numFmtId="1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horizontal="center" vertical="top"/>
    </xf>
    <xf numFmtId="0" fontId="0" fillId="2" borderId="10" xfId="0" applyFill="1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0" fillId="2" borderId="1" xfId="0" applyFill="1" applyBorder="1" applyAlignment="1">
      <alignment horizontal="center" vertical="top" wrapText="1"/>
    </xf>
    <xf numFmtId="0" fontId="0" fillId="2" borderId="1" xfId="0" applyFill="1" applyBorder="1" applyAlignment="1">
      <alignment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1" xfId="0" applyFont="1" applyBorder="1" applyAlignment="1">
      <alignment vertical="top" wrapText="1"/>
    </xf>
    <xf numFmtId="0" fontId="0" fillId="0" borderId="13" xfId="0" applyBorder="1" applyAlignment="1">
      <alignment horizontal="center" vertical="top" wrapText="1"/>
    </xf>
    <xf numFmtId="0" fontId="7" fillId="0" borderId="1" xfId="0" applyFont="1" applyBorder="1" applyAlignment="1">
      <alignment vertical="top" wrapText="1"/>
    </xf>
    <xf numFmtId="0" fontId="8" fillId="0" borderId="1" xfId="0" applyFont="1" applyBorder="1" applyAlignment="1">
      <alignment vertical="top" wrapText="1"/>
    </xf>
    <xf numFmtId="1" fontId="0" fillId="0" borderId="2" xfId="0" applyNumberFormat="1" applyBorder="1" applyAlignment="1">
      <alignment vertical="top"/>
    </xf>
    <xf numFmtId="0" fontId="0" fillId="0" borderId="2" xfId="0" applyBorder="1" applyAlignment="1">
      <alignment horizontal="center" vertical="top" wrapText="1"/>
    </xf>
    <xf numFmtId="0" fontId="9" fillId="0" borderId="1" xfId="0" applyFont="1" applyBorder="1" applyAlignment="1">
      <alignment vertical="top" wrapText="1"/>
    </xf>
    <xf numFmtId="1" fontId="0" fillId="0" borderId="3" xfId="0" applyNumberFormat="1" applyBorder="1" applyAlignment="1">
      <alignment vertical="top"/>
    </xf>
    <xf numFmtId="0" fontId="8" fillId="0" borderId="3" xfId="0" applyFont="1" applyBorder="1" applyAlignment="1">
      <alignment vertical="top" wrapText="1"/>
    </xf>
    <xf numFmtId="1" fontId="0" fillId="0" borderId="13" xfId="0" applyNumberFormat="1" applyBorder="1" applyAlignment="1">
      <alignment vertical="top"/>
    </xf>
    <xf numFmtId="0" fontId="9" fillId="0" borderId="3" xfId="0" applyFont="1" applyBorder="1" applyAlignment="1">
      <alignment vertical="top" wrapText="1"/>
    </xf>
    <xf numFmtId="0" fontId="10" fillId="0" borderId="0" xfId="0" applyFont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1" fillId="2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165" fontId="1" fillId="0" borderId="1" xfId="1" applyNumberFormat="1" applyFont="1" applyFill="1" applyBorder="1" applyAlignment="1">
      <alignment vertical="top" wrapText="1"/>
    </xf>
    <xf numFmtId="165" fontId="0" fillId="0" borderId="1" xfId="1" applyNumberFormat="1" applyFont="1" applyBorder="1" applyAlignment="1">
      <alignment vertical="top" wrapText="1"/>
    </xf>
    <xf numFmtId="0" fontId="11" fillId="0" borderId="1" xfId="0" applyFont="1" applyBorder="1" applyAlignment="1">
      <alignment vertical="top" wrapText="1"/>
    </xf>
    <xf numFmtId="0" fontId="6" fillId="0" borderId="0" xfId="0" applyFont="1" applyAlignment="1">
      <alignment horizontal="center" vertical="top"/>
    </xf>
    <xf numFmtId="0" fontId="6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3" fillId="0" borderId="7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15" fillId="0" borderId="8" xfId="0" applyFont="1" applyBorder="1" applyAlignment="1">
      <alignment horizontal="center" vertical="top" wrapText="1"/>
    </xf>
    <xf numFmtId="0" fontId="19" fillId="0" borderId="0" xfId="0" applyFont="1" applyAlignment="1">
      <alignment vertical="top"/>
    </xf>
    <xf numFmtId="0" fontId="6" fillId="0" borderId="5" xfId="0" applyFont="1" applyBorder="1" applyAlignment="1">
      <alignment horizontal="center" vertical="top"/>
    </xf>
    <xf numFmtId="164" fontId="16" fillId="0" borderId="4" xfId="0" applyNumberFormat="1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164" fontId="16" fillId="0" borderId="0" xfId="0" applyNumberFormat="1" applyFont="1" applyAlignment="1">
      <alignment horizontal="center" vertical="top" wrapText="1"/>
    </xf>
    <xf numFmtId="0" fontId="18" fillId="0" borderId="0" xfId="0" applyFont="1" applyAlignment="1" applyProtection="1">
      <alignment horizontal="center" vertical="top" wrapText="1"/>
      <protection locked="0"/>
    </xf>
    <xf numFmtId="166" fontId="16" fillId="0" borderId="0" xfId="0" applyNumberFormat="1" applyFont="1" applyAlignment="1" applyProtection="1">
      <alignment horizontal="center" vertical="top" wrapText="1"/>
      <protection locked="0"/>
    </xf>
    <xf numFmtId="0" fontId="16" fillId="0" borderId="0" xfId="0" applyFont="1" applyAlignment="1" applyProtection="1">
      <alignment horizontal="center" vertical="top" wrapText="1"/>
      <protection locked="0"/>
    </xf>
    <xf numFmtId="2" fontId="16" fillId="0" borderId="0" xfId="0" applyNumberFormat="1" applyFont="1" applyAlignment="1">
      <alignment horizontal="center" vertical="top" wrapText="1"/>
    </xf>
    <xf numFmtId="164" fontId="14" fillId="0" borderId="0" xfId="0" applyNumberFormat="1" applyFont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3" fillId="0" borderId="1" xfId="0" applyFont="1" applyBorder="1" applyAlignment="1">
      <alignment horizontal="center" vertical="top" wrapText="1"/>
    </xf>
    <xf numFmtId="0" fontId="15" fillId="3" borderId="9" xfId="0" applyFont="1" applyFill="1" applyBorder="1" applyAlignment="1">
      <alignment vertical="top"/>
    </xf>
    <xf numFmtId="0" fontId="16" fillId="3" borderId="9" xfId="0" applyFont="1" applyFill="1" applyBorder="1" applyAlignment="1">
      <alignment vertical="top"/>
    </xf>
    <xf numFmtId="0" fontId="18" fillId="0" borderId="4" xfId="0" applyFont="1" applyBorder="1" applyAlignment="1">
      <alignment horizontal="center" vertical="top" wrapText="1"/>
    </xf>
    <xf numFmtId="164" fontId="18" fillId="0" borderId="4" xfId="0" applyNumberFormat="1" applyFont="1" applyBorder="1" applyAlignment="1">
      <alignment horizontal="center" vertical="top" wrapText="1"/>
    </xf>
    <xf numFmtId="0" fontId="14" fillId="0" borderId="5" xfId="0" applyFont="1" applyBorder="1" applyAlignment="1">
      <alignment vertical="top"/>
    </xf>
    <xf numFmtId="0" fontId="14" fillId="0" borderId="4" xfId="0" applyFont="1" applyBorder="1" applyAlignment="1">
      <alignment vertical="top"/>
    </xf>
    <xf numFmtId="164" fontId="6" fillId="0" borderId="4" xfId="0" applyNumberFormat="1" applyFont="1" applyBorder="1" applyAlignment="1">
      <alignment vertical="top"/>
    </xf>
    <xf numFmtId="164" fontId="14" fillId="0" borderId="4" xfId="0" applyNumberFormat="1" applyFont="1" applyBorder="1" applyAlignment="1">
      <alignment vertical="top"/>
    </xf>
    <xf numFmtId="164" fontId="16" fillId="4" borderId="4" xfId="0" applyNumberFormat="1" applyFont="1" applyFill="1" applyBorder="1" applyAlignment="1">
      <alignment horizontal="center" vertical="top" wrapText="1"/>
    </xf>
    <xf numFmtId="0" fontId="18" fillId="4" borderId="4" xfId="0" applyFont="1" applyFill="1" applyBorder="1" applyAlignment="1" applyProtection="1">
      <alignment horizontal="center" vertical="top" wrapText="1"/>
      <protection locked="0"/>
    </xf>
    <xf numFmtId="166" fontId="16" fillId="4" borderId="4" xfId="0" applyNumberFormat="1" applyFont="1" applyFill="1" applyBorder="1" applyAlignment="1" applyProtection="1">
      <alignment horizontal="center" vertical="top" wrapText="1"/>
      <protection locked="0"/>
    </xf>
    <xf numFmtId="0" fontId="16" fillId="4" borderId="4" xfId="0" applyFont="1" applyFill="1" applyBorder="1" applyAlignment="1" applyProtection="1">
      <alignment horizontal="center" vertical="top" wrapText="1"/>
      <protection locked="0"/>
    </xf>
    <xf numFmtId="0" fontId="22" fillId="2" borderId="20" xfId="0" applyFont="1" applyFill="1" applyBorder="1" applyAlignment="1" applyProtection="1">
      <alignment horizontal="left" vertical="top"/>
      <protection locked="0"/>
    </xf>
    <xf numFmtId="0" fontId="21" fillId="2" borderId="11" xfId="0" applyFont="1" applyFill="1" applyBorder="1" applyAlignment="1" applyProtection="1">
      <alignment horizontal="center" vertical="top"/>
      <protection locked="0"/>
    </xf>
    <xf numFmtId="0" fontId="21" fillId="2" borderId="11" xfId="0" applyFont="1" applyFill="1" applyBorder="1" applyAlignment="1">
      <alignment horizontal="center" vertical="top" wrapText="1"/>
    </xf>
    <xf numFmtId="0" fontId="21" fillId="2" borderId="21" xfId="0" applyFont="1" applyFill="1" applyBorder="1" applyAlignment="1">
      <alignment horizontal="center" vertical="top" wrapText="1"/>
    </xf>
    <xf numFmtId="0" fontId="21" fillId="0" borderId="11" xfId="0" applyFont="1" applyBorder="1" applyAlignment="1" applyProtection="1">
      <alignment horizontal="center" vertical="top"/>
      <protection locked="0"/>
    </xf>
    <xf numFmtId="0" fontId="21" fillId="0" borderId="11" xfId="0" applyFont="1" applyBorder="1" applyAlignment="1">
      <alignment horizontal="center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5" xfId="0" applyFont="1" applyBorder="1" applyAlignment="1" applyProtection="1">
      <alignment horizontal="center" vertical="top"/>
      <protection locked="0"/>
    </xf>
    <xf numFmtId="0" fontId="23" fillId="0" borderId="5" xfId="0" applyFont="1" applyBorder="1" applyAlignment="1" applyProtection="1">
      <alignment horizontal="center" vertical="top"/>
      <protection locked="0"/>
    </xf>
    <xf numFmtId="0" fontId="23" fillId="0" borderId="4" xfId="0" applyFont="1" applyBorder="1" applyAlignment="1" applyProtection="1">
      <alignment horizontal="center" vertical="top" wrapText="1"/>
      <protection locked="0"/>
    </xf>
    <xf numFmtId="164" fontId="21" fillId="0" borderId="4" xfId="0" applyNumberFormat="1" applyFont="1" applyBorder="1" applyAlignment="1">
      <alignment horizontal="center" vertical="top" wrapText="1"/>
    </xf>
    <xf numFmtId="168" fontId="21" fillId="0" borderId="4" xfId="0" applyNumberFormat="1" applyFont="1" applyBorder="1" applyAlignment="1">
      <alignment horizontal="center" vertical="top" wrapText="1"/>
    </xf>
    <xf numFmtId="0" fontId="23" fillId="0" borderId="4" xfId="0" applyFont="1" applyBorder="1" applyAlignment="1">
      <alignment horizontal="center" vertical="top" wrapText="1"/>
    </xf>
    <xf numFmtId="164" fontId="21" fillId="0" borderId="6" xfId="0" applyNumberFormat="1" applyFont="1" applyBorder="1" applyAlignment="1">
      <alignment horizontal="center" vertical="top" wrapText="1"/>
    </xf>
    <xf numFmtId="167" fontId="4" fillId="0" borderId="0" xfId="0" applyNumberFormat="1" applyFont="1" applyAlignment="1">
      <alignment vertical="top"/>
    </xf>
    <xf numFmtId="0" fontId="12" fillId="0" borderId="0" xfId="0" applyFont="1" applyAlignment="1">
      <alignment vertical="top"/>
    </xf>
    <xf numFmtId="2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vertical="top"/>
    </xf>
    <xf numFmtId="0" fontId="22" fillId="2" borderId="17" xfId="0" applyFont="1" applyFill="1" applyBorder="1" applyAlignment="1">
      <alignment horizontal="center" vertical="top" wrapText="1"/>
    </xf>
    <xf numFmtId="0" fontId="22" fillId="2" borderId="18" xfId="0" applyFont="1" applyFill="1" applyBorder="1" applyAlignment="1">
      <alignment horizontal="center" vertical="top" wrapText="1"/>
    </xf>
    <xf numFmtId="0" fontId="22" fillId="2" borderId="19" xfId="0" applyFont="1" applyFill="1" applyBorder="1" applyAlignment="1">
      <alignment horizontal="center" vertical="top" wrapText="1"/>
    </xf>
    <xf numFmtId="0" fontId="22" fillId="4" borderId="14" xfId="0" applyFont="1" applyFill="1" applyBorder="1" applyAlignment="1">
      <alignment vertical="top"/>
    </xf>
    <xf numFmtId="0" fontId="21" fillId="4" borderId="15" xfId="0" applyFont="1" applyFill="1" applyBorder="1" applyAlignment="1">
      <alignment vertical="top"/>
    </xf>
    <xf numFmtId="0" fontId="22" fillId="4" borderId="15" xfId="0" applyFont="1" applyFill="1" applyBorder="1" applyAlignment="1">
      <alignment horizontal="center" vertical="top"/>
    </xf>
    <xf numFmtId="0" fontId="21" fillId="4" borderId="16" xfId="0" applyFont="1" applyFill="1" applyBorder="1" applyAlignment="1">
      <alignment vertical="top"/>
    </xf>
    <xf numFmtId="0" fontId="20" fillId="4" borderId="22" xfId="0" applyFont="1" applyFill="1" applyBorder="1" applyAlignment="1">
      <alignment horizontal="left" vertical="top"/>
    </xf>
    <xf numFmtId="0" fontId="15" fillId="4" borderId="23" xfId="0" applyFont="1" applyFill="1" applyBorder="1" applyAlignment="1">
      <alignment vertical="top"/>
    </xf>
    <xf numFmtId="0" fontId="16" fillId="4" borderId="2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/>
    </xf>
    <xf numFmtId="0" fontId="14" fillId="4" borderId="23" xfId="0" applyFont="1" applyFill="1" applyBorder="1" applyAlignment="1">
      <alignment vertical="top"/>
    </xf>
    <xf numFmtId="0" fontId="6" fillId="4" borderId="24" xfId="0" applyFont="1" applyFill="1" applyBorder="1" applyAlignment="1">
      <alignment vertical="top"/>
    </xf>
    <xf numFmtId="0" fontId="13" fillId="3" borderId="25" xfId="0" applyFont="1" applyFill="1" applyBorder="1" applyAlignment="1">
      <alignment horizontal="left" vertical="top"/>
    </xf>
    <xf numFmtId="0" fontId="16" fillId="3" borderId="26" xfId="0" applyFont="1" applyFill="1" applyBorder="1" applyAlignment="1">
      <alignment vertical="top"/>
    </xf>
    <xf numFmtId="0" fontId="13" fillId="0" borderId="27" xfId="0" applyFont="1" applyBorder="1" applyAlignment="1">
      <alignment horizontal="center" vertical="top"/>
    </xf>
    <xf numFmtId="0" fontId="15" fillId="0" borderId="2" xfId="0" applyFont="1" applyBorder="1" applyAlignment="1">
      <alignment horizontal="center"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 wrapText="1"/>
    </xf>
    <xf numFmtId="0" fontId="14" fillId="3" borderId="10" xfId="0" applyFont="1" applyFill="1" applyBorder="1" applyAlignment="1">
      <alignment vertical="top"/>
    </xf>
    <xf numFmtId="0" fontId="14" fillId="3" borderId="11" xfId="0" applyFont="1" applyFill="1" applyBorder="1" applyAlignment="1">
      <alignment vertical="top"/>
    </xf>
    <xf numFmtId="0" fontId="13" fillId="3" borderId="11" xfId="0" applyFont="1" applyFill="1" applyBorder="1" applyAlignment="1">
      <alignment vertical="top"/>
    </xf>
    <xf numFmtId="9" fontId="13" fillId="3" borderId="11" xfId="0" applyNumberFormat="1" applyFont="1" applyFill="1" applyBorder="1" applyAlignment="1">
      <alignment horizontal="left" vertical="top"/>
    </xf>
    <xf numFmtId="0" fontId="6" fillId="3" borderId="11" xfId="0" applyFont="1" applyFill="1" applyBorder="1" applyAlignment="1">
      <alignment vertical="top"/>
    </xf>
    <xf numFmtId="0" fontId="6" fillId="3" borderId="12" xfId="0" applyFont="1" applyFill="1" applyBorder="1" applyAlignment="1">
      <alignment vertical="top"/>
    </xf>
    <xf numFmtId="9" fontId="25" fillId="4" borderId="4" xfId="2" applyFont="1" applyFill="1" applyBorder="1" applyAlignment="1" applyProtection="1">
      <alignment horizontal="center" vertical="top" wrapText="1"/>
      <protection locked="0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</xdr:row>
      <xdr:rowOff>0</xdr:rowOff>
    </xdr:from>
    <xdr:ext cx="76200" cy="152400"/>
    <xdr:sp macro="" textlink="">
      <xdr:nvSpPr>
        <xdr:cNvPr id="18" name="Text Box 17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 txBox="1">
          <a:spLocks noChangeArrowheads="1"/>
        </xdr:cNvSpPr>
      </xdr:nvSpPr>
      <xdr:spPr bwMode="auto">
        <a:xfrm>
          <a:off x="714375" y="962025"/>
          <a:ext cx="762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76200" cy="152400"/>
    <xdr:sp macro="" textlink="">
      <xdr:nvSpPr>
        <xdr:cNvPr id="19" name="Text Box 14">
          <a:extLst>
            <a:ext uri="{FF2B5EF4-FFF2-40B4-BE49-F238E27FC236}">
              <a16:creationId xmlns:a16="http://schemas.microsoft.com/office/drawing/2014/main" id="{00000000-0008-0000-2300-000013000000}"/>
            </a:ext>
          </a:extLst>
        </xdr:cNvPr>
        <xdr:cNvSpPr txBox="1">
          <a:spLocks noChangeArrowheads="1"/>
        </xdr:cNvSpPr>
      </xdr:nvSpPr>
      <xdr:spPr bwMode="auto">
        <a:xfrm>
          <a:off x="714375" y="962025"/>
          <a:ext cx="762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34</xdr:row>
      <xdr:rowOff>0</xdr:rowOff>
    </xdr:from>
    <xdr:ext cx="76200" cy="152400"/>
    <xdr:sp macro="" textlink="">
      <xdr:nvSpPr>
        <xdr:cNvPr id="20" name="Text Box 17">
          <a:extLst>
            <a:ext uri="{FF2B5EF4-FFF2-40B4-BE49-F238E27FC236}">
              <a16:creationId xmlns:a16="http://schemas.microsoft.com/office/drawing/2014/main" id="{00000000-0008-0000-2300-000014000000}"/>
            </a:ext>
          </a:extLst>
        </xdr:cNvPr>
        <xdr:cNvSpPr txBox="1">
          <a:spLocks noChangeArrowheads="1"/>
        </xdr:cNvSpPr>
      </xdr:nvSpPr>
      <xdr:spPr bwMode="auto">
        <a:xfrm>
          <a:off x="714375" y="3076575"/>
          <a:ext cx="762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34</xdr:row>
      <xdr:rowOff>0</xdr:rowOff>
    </xdr:from>
    <xdr:ext cx="76200" cy="152400"/>
    <xdr:sp macro="" textlink="">
      <xdr:nvSpPr>
        <xdr:cNvPr id="21" name="Text Box 14">
          <a:extLst>
            <a:ext uri="{FF2B5EF4-FFF2-40B4-BE49-F238E27FC236}">
              <a16:creationId xmlns:a16="http://schemas.microsoft.com/office/drawing/2014/main" id="{00000000-0008-0000-2300-000015000000}"/>
            </a:ext>
          </a:extLst>
        </xdr:cNvPr>
        <xdr:cNvSpPr txBox="1">
          <a:spLocks noChangeArrowheads="1"/>
        </xdr:cNvSpPr>
      </xdr:nvSpPr>
      <xdr:spPr bwMode="auto">
        <a:xfrm>
          <a:off x="714375" y="3076575"/>
          <a:ext cx="762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358140</xdr:colOff>
          <xdr:row>11</xdr:row>
          <xdr:rowOff>49530</xdr:rowOff>
        </xdr:from>
        <xdr:to>
          <xdr:col>15</xdr:col>
          <xdr:colOff>697230</xdr:colOff>
          <xdr:row>12</xdr:row>
          <xdr:rowOff>152400</xdr:rowOff>
        </xdr:to>
        <xdr:sp macro="" textlink="">
          <xdr:nvSpPr>
            <xdr:cNvPr id="3085" name="Object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396240</xdr:rowOff>
        </xdr:from>
        <xdr:to>
          <xdr:col>15</xdr:col>
          <xdr:colOff>697230</xdr:colOff>
          <xdr:row>14</xdr:row>
          <xdr:rowOff>7620</xdr:rowOff>
        </xdr:to>
        <xdr:sp macro="" textlink="">
          <xdr:nvSpPr>
            <xdr:cNvPr id="3086" name="Object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358140</xdr:colOff>
          <xdr:row>13</xdr:row>
          <xdr:rowOff>45720</xdr:rowOff>
        </xdr:from>
        <xdr:to>
          <xdr:col>15</xdr:col>
          <xdr:colOff>697230</xdr:colOff>
          <xdr:row>13</xdr:row>
          <xdr:rowOff>323850</xdr:rowOff>
        </xdr:to>
        <xdr:sp macro="" textlink="">
          <xdr:nvSpPr>
            <xdr:cNvPr id="3087" name="Object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358140</xdr:colOff>
          <xdr:row>14</xdr:row>
          <xdr:rowOff>102870</xdr:rowOff>
        </xdr:from>
        <xdr:to>
          <xdr:col>15</xdr:col>
          <xdr:colOff>697230</xdr:colOff>
          <xdr:row>16</xdr:row>
          <xdr:rowOff>30480</xdr:rowOff>
        </xdr:to>
        <xdr:sp macro="" textlink="">
          <xdr:nvSpPr>
            <xdr:cNvPr id="3088" name="Object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21</xdr:row>
          <xdr:rowOff>80010</xdr:rowOff>
        </xdr:from>
        <xdr:to>
          <xdr:col>2</xdr:col>
          <xdr:colOff>502920</xdr:colOff>
          <xdr:row>31</xdr:row>
          <xdr:rowOff>26670</xdr:rowOff>
        </xdr:to>
        <xdr:sp macro="" textlink="">
          <xdr:nvSpPr>
            <xdr:cNvPr id="3089" name="Object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9</xdr:col>
      <xdr:colOff>48027</xdr:colOff>
      <xdr:row>21</xdr:row>
      <xdr:rowOff>35538</xdr:rowOff>
    </xdr:from>
    <xdr:to>
      <xdr:col>10</xdr:col>
      <xdr:colOff>573045</xdr:colOff>
      <xdr:row>30</xdr:row>
      <xdr:rowOff>76968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7947" y="5285718"/>
          <a:ext cx="1435608" cy="15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546463</xdr:colOff>
      <xdr:row>21</xdr:row>
      <xdr:rowOff>29935</xdr:rowOff>
    </xdr:from>
    <xdr:to>
      <xdr:col>4</xdr:col>
      <xdr:colOff>603948</xdr:colOff>
      <xdr:row>30</xdr:row>
      <xdr:rowOff>152400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4263" y="5280115"/>
          <a:ext cx="1432895" cy="161598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849630</xdr:colOff>
          <xdr:row>21</xdr:row>
          <xdr:rowOff>60960</xdr:rowOff>
        </xdr:from>
        <xdr:to>
          <xdr:col>9</xdr:col>
          <xdr:colOff>26670</xdr:colOff>
          <xdr:row>31</xdr:row>
          <xdr:rowOff>7620</xdr:rowOff>
        </xdr:to>
        <xdr:sp macro="" textlink="">
          <xdr:nvSpPr>
            <xdr:cNvPr id="3094" name="Object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Word_Document2.docx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Word_Document4.docx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package" Target="../embeddings/Microsoft_Word_Document1.docx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package" Target="../embeddings/Microsoft_Word_Document3.docx"/><Relationship Id="rId4" Type="http://schemas.openxmlformats.org/officeDocument/2006/relationships/package" Target="../embeddings/Microsoft_Word_Document.docx"/><Relationship Id="rId9" Type="http://schemas.openxmlformats.org/officeDocument/2006/relationships/image" Target="../media/image3.emf"/><Relationship Id="rId14" Type="http://schemas.openxmlformats.org/officeDocument/2006/relationships/package" Target="../embeddings/Microsoft_Word_Document5.docx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675DC-C7B9-46B6-A510-F31C9D6E7BAA}">
  <sheetPr>
    <pageSetUpPr fitToPage="1"/>
  </sheetPr>
  <dimension ref="A1:AE34"/>
  <sheetViews>
    <sheetView tabSelected="1" view="pageBreakPreview" zoomScaleNormal="85" zoomScaleSheetLayoutView="100" workbookViewId="0">
      <selection activeCell="B4" sqref="B4"/>
    </sheetView>
  </sheetViews>
  <sheetFormatPr defaultColWidth="9.15625" defaultRowHeight="12.9"/>
  <cols>
    <col min="1" max="1" width="10.83984375" style="43" customWidth="1"/>
    <col min="2" max="2" width="9.15625" style="44"/>
    <col min="3" max="3" width="9.83984375" style="44" customWidth="1"/>
    <col min="4" max="4" width="9.15625" style="44" customWidth="1"/>
    <col min="5" max="5" width="9.15625" style="44"/>
    <col min="6" max="6" width="11.20703125" style="44" customWidth="1"/>
    <col min="7" max="7" width="13.3125" style="44" customWidth="1"/>
    <col min="8" max="8" width="11.15625" style="44" customWidth="1"/>
    <col min="9" max="11" width="12.578125" style="44" customWidth="1"/>
    <col min="12" max="15" width="10.26171875" style="44" customWidth="1"/>
    <col min="16" max="16" width="15.3125" style="44" customWidth="1"/>
    <col min="17" max="17" width="3.05078125" style="44" customWidth="1"/>
    <col min="18" max="18" width="39.15625" style="44" customWidth="1"/>
    <col min="19" max="19" width="9.15625" style="44"/>
    <col min="20" max="20" width="12.68359375" style="44" customWidth="1"/>
    <col min="21" max="21" width="10.15625" style="44" customWidth="1"/>
    <col min="22" max="22" width="10.15625" style="44" bestFit="1" customWidth="1"/>
    <col min="23" max="23" width="11.05078125" style="44" customWidth="1"/>
    <col min="24" max="24" width="11.68359375" style="44" customWidth="1"/>
    <col min="25" max="25" width="8.734375" style="44" customWidth="1"/>
    <col min="26" max="26" width="9.15625" style="44"/>
    <col min="27" max="29" width="12" style="44" bestFit="1" customWidth="1"/>
    <col min="30" max="31" width="9.15625" style="44"/>
    <col min="32" max="32" width="12" style="44" bestFit="1" customWidth="1"/>
    <col min="33" max="16384" width="9.15625" style="44"/>
  </cols>
  <sheetData>
    <row r="1" spans="1:31">
      <c r="AA1" s="89"/>
      <c r="AE1" s="89"/>
    </row>
    <row r="2" spans="1:31"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31" ht="14.4">
      <c r="B3" s="3" t="s">
        <v>122</v>
      </c>
      <c r="C3" s="46"/>
      <c r="D3" s="46"/>
      <c r="E3" s="46"/>
      <c r="F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ht="14.4">
      <c r="B4" s="3" t="s">
        <v>7</v>
      </c>
      <c r="C4" s="46"/>
      <c r="D4" s="46"/>
      <c r="E4" s="46"/>
      <c r="F4" s="46"/>
      <c r="G4" s="88">
        <f ca="1">TODAY()</f>
        <v>45855</v>
      </c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31" ht="14.7" thickBot="1">
      <c r="B5" s="3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31" ht="13.2" thickBot="1">
      <c r="A6" s="95" t="s">
        <v>91</v>
      </c>
      <c r="B6" s="95"/>
      <c r="C6" s="96"/>
      <c r="D6" s="97"/>
      <c r="E6" s="96"/>
      <c r="F6" s="96" t="s">
        <v>92</v>
      </c>
      <c r="G6" s="98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31" ht="45.6">
      <c r="A7" s="92" t="s">
        <v>93</v>
      </c>
      <c r="B7" s="92" t="s">
        <v>94</v>
      </c>
      <c r="C7" s="93" t="s">
        <v>103</v>
      </c>
      <c r="D7" s="93" t="s">
        <v>95</v>
      </c>
      <c r="E7" s="93" t="s">
        <v>96</v>
      </c>
      <c r="F7" s="93" t="s">
        <v>97</v>
      </c>
      <c r="G7" s="94" t="s">
        <v>98</v>
      </c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31">
      <c r="A8" s="74" t="s">
        <v>99</v>
      </c>
      <c r="B8" s="75"/>
      <c r="C8" s="75"/>
      <c r="D8" s="76" t="str">
        <f t="shared" ref="D8:D10" si="0">IF(B8=0,"",B8*C8)</f>
        <v/>
      </c>
      <c r="E8" s="76"/>
      <c r="F8" s="76" t="str">
        <f>IF(B8=0,"",IF(#REF!&gt;#REF!,$F$6/(#REF!^$I$6),$F$6/(#REF!^$I$6)))</f>
        <v/>
      </c>
      <c r="G8" s="77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31">
      <c r="A9" s="74" t="s">
        <v>100</v>
      </c>
      <c r="B9" s="78"/>
      <c r="C9" s="78"/>
      <c r="D9" s="79" t="str">
        <f t="shared" si="0"/>
        <v/>
      </c>
      <c r="E9" s="79"/>
      <c r="F9" s="79" t="str">
        <f>IF(B9=0,"",IF(#REF!&gt;#REF!,$F$6/(#REF!^$I$6),$F$6/(#REF!^$I$6)))</f>
        <v/>
      </c>
      <c r="G9" s="80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31" ht="13.2" thickBot="1">
      <c r="A10" s="81" t="s">
        <v>101</v>
      </c>
      <c r="B10" s="82">
        <v>49.45</v>
      </c>
      <c r="C10" s="83">
        <v>0.7</v>
      </c>
      <c r="D10" s="84">
        <f t="shared" si="0"/>
        <v>34.615000000000002</v>
      </c>
      <c r="E10" s="85">
        <v>27</v>
      </c>
      <c r="F10" s="86">
        <v>80.72</v>
      </c>
      <c r="G10" s="87">
        <f>IF(B10=0,"",(D10*F10)/360)</f>
        <v>7.7614522222222222</v>
      </c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31" ht="14.4">
      <c r="B11" s="3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4" t="s">
        <v>107</v>
      </c>
      <c r="S11" s="46"/>
      <c r="T11" s="46"/>
      <c r="U11" s="46"/>
      <c r="V11" s="46"/>
      <c r="W11" s="46"/>
      <c r="X11" s="46"/>
      <c r="Y11" s="46"/>
      <c r="Z11" s="46"/>
    </row>
    <row r="12" spans="1:31" ht="15.9" thickBot="1">
      <c r="A12" s="99" t="s">
        <v>90</v>
      </c>
      <c r="B12" s="100"/>
      <c r="C12" s="101"/>
      <c r="D12" s="101"/>
      <c r="E12" s="101"/>
      <c r="F12" s="101"/>
      <c r="G12" s="101"/>
      <c r="H12" s="101"/>
      <c r="I12" s="101"/>
      <c r="J12" s="102"/>
      <c r="K12" s="103"/>
      <c r="L12" s="104"/>
      <c r="R12" s="2" t="s">
        <v>104</v>
      </c>
      <c r="Z12" s="46"/>
    </row>
    <row r="13" spans="1:31" ht="16.5">
      <c r="A13" s="105"/>
      <c r="B13" s="62"/>
      <c r="C13" s="63"/>
      <c r="D13" s="63"/>
      <c r="E13" s="63"/>
      <c r="F13" s="62" t="s">
        <v>87</v>
      </c>
      <c r="G13" s="62"/>
      <c r="H13" s="63"/>
      <c r="I13" s="63"/>
      <c r="J13" s="63"/>
      <c r="K13" s="63"/>
      <c r="L13" s="106"/>
      <c r="R13" s="2" t="s">
        <v>106</v>
      </c>
      <c r="Z13" s="46"/>
    </row>
    <row r="14" spans="1:31" ht="53.4">
      <c r="A14" s="47" t="s">
        <v>5</v>
      </c>
      <c r="B14" s="48" t="s">
        <v>86</v>
      </c>
      <c r="C14" s="48" t="s">
        <v>102</v>
      </c>
      <c r="D14" s="48" t="s">
        <v>0</v>
      </c>
      <c r="E14" s="48" t="s">
        <v>1</v>
      </c>
      <c r="F14" s="61" t="s">
        <v>118</v>
      </c>
      <c r="G14" s="61" t="s">
        <v>119</v>
      </c>
      <c r="H14" s="61" t="s">
        <v>120</v>
      </c>
      <c r="I14" s="48" t="s">
        <v>2</v>
      </c>
      <c r="J14" s="48" t="s">
        <v>3</v>
      </c>
      <c r="K14" s="48" t="s">
        <v>83</v>
      </c>
      <c r="L14" s="49" t="s">
        <v>4</v>
      </c>
      <c r="R14" s="1" t="s">
        <v>108</v>
      </c>
      <c r="Z14" s="46"/>
    </row>
    <row r="15" spans="1:31" ht="14.7" thickBot="1">
      <c r="A15" s="51" t="s">
        <v>6</v>
      </c>
      <c r="B15" s="70">
        <f>G10/2</f>
        <v>3.8807261111111111</v>
      </c>
      <c r="C15" s="71">
        <v>1800</v>
      </c>
      <c r="D15" s="72">
        <v>1E-3</v>
      </c>
      <c r="E15" s="73">
        <v>1.2E-2</v>
      </c>
      <c r="F15" s="90">
        <f>PI()*(C15/1000)^2/4</f>
        <v>2.5446900494077327</v>
      </c>
      <c r="G15" s="90">
        <f>PI()*C15/1000</f>
        <v>5.6548667764616276</v>
      </c>
      <c r="H15" s="91">
        <f>F15/G15</f>
        <v>0.45000000000000007</v>
      </c>
      <c r="I15" s="52">
        <f>((H15^(2/3))*(D15^(1/2))/E15)</f>
        <v>1.5474873105230473</v>
      </c>
      <c r="J15" s="64" t="str">
        <f>IF(AND(I15&gt;=1,I15&lt;=3.5),"OK","Change Dia")</f>
        <v>OK</v>
      </c>
      <c r="K15" s="65">
        <f>I15*PI()*(0.001*C15)*(0.001*C15)/4</f>
        <v>3.9378755606727318</v>
      </c>
      <c r="L15" s="53" t="str">
        <f>IF(K15&lt;B15,"use larger pipe's size","OK")</f>
        <v>OK</v>
      </c>
      <c r="R15" s="2" t="s">
        <v>105</v>
      </c>
      <c r="Z15" s="46"/>
      <c r="AB15" s="50"/>
    </row>
    <row r="16" spans="1:31">
      <c r="A16" s="46"/>
      <c r="B16" s="46"/>
      <c r="C16" s="46"/>
      <c r="D16" s="46"/>
      <c r="E16" s="46"/>
      <c r="F16" s="46"/>
      <c r="G16" s="46"/>
      <c r="H16" s="46"/>
      <c r="I16" s="46"/>
      <c r="K16" s="46"/>
      <c r="Z16" s="46"/>
      <c r="AA16" s="43"/>
      <c r="AB16" s="43"/>
    </row>
    <row r="17" spans="1:28">
      <c r="B17" s="54"/>
      <c r="C17" s="55"/>
      <c r="D17" s="56"/>
      <c r="E17" s="57"/>
      <c r="F17" s="58"/>
      <c r="G17" s="54"/>
      <c r="H17" s="59"/>
      <c r="I17" s="59"/>
      <c r="J17" s="60"/>
      <c r="K17" s="46"/>
      <c r="L17" s="46"/>
      <c r="M17" s="46"/>
      <c r="N17" s="46"/>
      <c r="O17" s="46"/>
      <c r="P17" s="46"/>
      <c r="Q17" s="46"/>
      <c r="S17" s="46"/>
      <c r="T17" s="46"/>
      <c r="U17" s="46"/>
      <c r="V17" s="46"/>
      <c r="W17" s="46"/>
      <c r="X17" s="46"/>
      <c r="Y17" s="46"/>
      <c r="Z17" s="46"/>
      <c r="AA17" s="43"/>
      <c r="AB17" s="43"/>
    </row>
    <row r="18" spans="1:28">
      <c r="A18" s="113"/>
      <c r="B18" s="114"/>
      <c r="C18" s="114"/>
      <c r="D18" s="115"/>
      <c r="E18" s="115" t="s">
        <v>110</v>
      </c>
      <c r="F18" s="115"/>
      <c r="G18" s="116"/>
      <c r="H18" s="114"/>
      <c r="I18" s="114"/>
      <c r="J18" s="114"/>
      <c r="K18" s="114"/>
      <c r="L18" s="117"/>
      <c r="M18" s="117"/>
      <c r="N18" s="117"/>
      <c r="O18" s="117"/>
      <c r="P18" s="118"/>
      <c r="R18" s="44" t="s">
        <v>107</v>
      </c>
      <c r="S18" s="46"/>
      <c r="T18" s="46"/>
      <c r="U18" s="46"/>
      <c r="V18" s="46"/>
      <c r="W18" s="46"/>
      <c r="X18" s="46"/>
      <c r="Y18" s="46"/>
      <c r="Z18" s="46"/>
      <c r="AA18" s="43"/>
      <c r="AB18" s="43"/>
    </row>
    <row r="19" spans="1:28" ht="64.5">
      <c r="A19" s="107" t="s">
        <v>5</v>
      </c>
      <c r="B19" s="108" t="s">
        <v>86</v>
      </c>
      <c r="C19" s="108" t="s">
        <v>102</v>
      </c>
      <c r="D19" s="108" t="s">
        <v>0</v>
      </c>
      <c r="E19" s="108" t="s">
        <v>1</v>
      </c>
      <c r="F19" s="109" t="s">
        <v>111</v>
      </c>
      <c r="G19" s="110" t="s">
        <v>112</v>
      </c>
      <c r="H19" s="111" t="s">
        <v>82</v>
      </c>
      <c r="I19" s="110" t="s">
        <v>84</v>
      </c>
      <c r="J19" s="110" t="s">
        <v>113</v>
      </c>
      <c r="K19" s="110" t="s">
        <v>117</v>
      </c>
      <c r="L19" s="110" t="s">
        <v>80</v>
      </c>
      <c r="M19" s="110" t="s">
        <v>85</v>
      </c>
      <c r="N19" s="108" t="s">
        <v>3</v>
      </c>
      <c r="O19" s="110" t="s">
        <v>81</v>
      </c>
      <c r="P19" s="112" t="s">
        <v>4</v>
      </c>
      <c r="R19" s="1" t="s">
        <v>109</v>
      </c>
      <c r="S19" s="46"/>
      <c r="T19" s="2"/>
      <c r="U19" s="46"/>
      <c r="V19" s="46"/>
      <c r="W19" s="46"/>
      <c r="X19" s="46"/>
      <c r="Y19" s="46"/>
      <c r="Z19" s="46"/>
      <c r="AA19" s="43"/>
      <c r="AB19" s="43"/>
    </row>
    <row r="20" spans="1:28" ht="13.2" thickBot="1">
      <c r="A20" s="51" t="s">
        <v>6</v>
      </c>
      <c r="B20" s="70">
        <f>G10/2</f>
        <v>3.8807261111111111</v>
      </c>
      <c r="C20" s="71">
        <v>1800</v>
      </c>
      <c r="D20" s="72">
        <v>1E-3</v>
      </c>
      <c r="E20" s="73">
        <v>1.2E-2</v>
      </c>
      <c r="F20" s="66">
        <f>C20/2/1000</f>
        <v>0.9</v>
      </c>
      <c r="G20" s="119">
        <v>0.75</v>
      </c>
      <c r="H20" s="67">
        <f>IF(G20&lt;=0.5,G20*(2*F20),(2*F20)-G20*(2*F20))</f>
        <v>0.44999999999999996</v>
      </c>
      <c r="I20" s="68">
        <f>2*ACOS((F20-H20)/F20)</f>
        <v>2.0943951023931948</v>
      </c>
      <c r="J20" s="69">
        <f>IF((G20&lt;=0.5),(F20^2)*((I20-SIN(I20))/2),PI()*F20^2-(F20^2)*((I20-SIN(I20))/2))</f>
        <v>2.0472003214711867</v>
      </c>
      <c r="K20" s="69">
        <f>IF((G20&lt;=0.5),F20*I20,2*PI()*F20-F20*I20)</f>
        <v>3.7699111843077522</v>
      </c>
      <c r="L20" s="69">
        <f>J20/K20</f>
        <v>0.54303675110242755</v>
      </c>
      <c r="M20" s="69">
        <f>(1/E20)*((L20^(2/3)))*D20^0.5</f>
        <v>1.7540349211772506</v>
      </c>
      <c r="N20" s="64" t="str">
        <f>IF(AND(M20&gt;=1,M20&lt;=3.5),"OK","Change Dia")</f>
        <v>OK</v>
      </c>
      <c r="O20" s="65">
        <f>M20*J20</f>
        <v>3.5908608545057548</v>
      </c>
      <c r="P20" s="53" t="str">
        <f>IF(O20&lt;B20,"use larger pipe's size","OK")</f>
        <v>use larger pipe's size</v>
      </c>
      <c r="S20" s="46"/>
      <c r="T20" s="46"/>
      <c r="U20" s="46"/>
      <c r="V20" s="46"/>
      <c r="W20" s="46"/>
      <c r="X20" s="46"/>
      <c r="Y20" s="46"/>
      <c r="Z20" s="46"/>
      <c r="AA20" s="43"/>
      <c r="AB20" s="43"/>
    </row>
    <row r="21" spans="1:28" ht="14.4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R21" s="2"/>
      <c r="S21" s="46"/>
      <c r="T21" s="46"/>
      <c r="U21" s="46"/>
      <c r="V21" s="46"/>
      <c r="W21" s="46"/>
      <c r="X21" s="46"/>
      <c r="Y21" s="46"/>
      <c r="Z21" s="46"/>
      <c r="AA21" s="43"/>
      <c r="AB21" s="43"/>
    </row>
    <row r="22" spans="1:28" ht="14.4">
      <c r="A22" s="46"/>
      <c r="B22" s="46"/>
      <c r="C22" s="46"/>
      <c r="D22" s="46"/>
      <c r="E22" s="46"/>
      <c r="F22" s="44" t="s">
        <v>107</v>
      </c>
      <c r="G22" s="46"/>
      <c r="H22" s="46"/>
      <c r="I22" s="46"/>
      <c r="J22" s="46"/>
      <c r="L22" s="44" t="s">
        <v>107</v>
      </c>
      <c r="R22" s="2"/>
      <c r="S22" s="46"/>
      <c r="T22" s="46"/>
      <c r="U22" s="46"/>
      <c r="V22" s="46"/>
      <c r="W22" s="46"/>
      <c r="X22" s="46"/>
      <c r="Y22" s="46"/>
      <c r="Z22" s="46"/>
      <c r="AA22" s="43"/>
      <c r="AB22" s="43"/>
    </row>
    <row r="23" spans="1:28">
      <c r="A23" s="46"/>
      <c r="B23" s="46"/>
      <c r="C23" s="46"/>
      <c r="D23" s="46"/>
      <c r="E23" s="46"/>
      <c r="F23" s="44" t="s">
        <v>114</v>
      </c>
      <c r="G23" s="46"/>
      <c r="H23" s="46"/>
      <c r="I23" s="46"/>
      <c r="J23" s="46"/>
      <c r="L23" s="44" t="s">
        <v>114</v>
      </c>
      <c r="R23" s="46"/>
      <c r="S23" s="46"/>
      <c r="T23" s="46"/>
      <c r="U23" s="46"/>
      <c r="V23" s="46"/>
      <c r="W23" s="46"/>
      <c r="X23" s="46"/>
      <c r="Y23" s="46"/>
      <c r="Z23" s="46"/>
      <c r="AA23" s="43"/>
      <c r="AB23" s="43"/>
    </row>
    <row r="24" spans="1:28">
      <c r="A24" s="46"/>
      <c r="B24" s="46"/>
      <c r="C24" s="46"/>
      <c r="D24" s="46"/>
      <c r="E24" s="46"/>
      <c r="F24" s="44" t="s">
        <v>116</v>
      </c>
      <c r="G24" s="46"/>
      <c r="H24" s="46"/>
      <c r="I24" s="46"/>
      <c r="J24" s="46"/>
      <c r="L24" s="44" t="s">
        <v>116</v>
      </c>
      <c r="R24" s="46"/>
      <c r="S24" s="46"/>
      <c r="T24" s="46"/>
      <c r="U24" s="46"/>
      <c r="V24" s="46"/>
      <c r="W24" s="46"/>
      <c r="X24" s="46"/>
      <c r="Y24" s="46"/>
      <c r="Z24" s="46"/>
      <c r="AA24" s="43"/>
      <c r="AB24" s="43"/>
    </row>
    <row r="25" spans="1:28">
      <c r="A25" s="46"/>
      <c r="B25" s="46"/>
      <c r="C25" s="46"/>
      <c r="D25" s="46"/>
      <c r="E25" s="46"/>
      <c r="F25" s="44" t="s">
        <v>121</v>
      </c>
      <c r="G25" s="46"/>
      <c r="H25" s="46"/>
      <c r="I25" s="46"/>
      <c r="J25" s="46"/>
      <c r="L25" s="44" t="s">
        <v>115</v>
      </c>
      <c r="R25" s="46"/>
      <c r="S25" s="46"/>
      <c r="T25" s="46"/>
      <c r="U25" s="46"/>
      <c r="V25" s="46"/>
      <c r="W25" s="46"/>
      <c r="X25" s="46"/>
      <c r="Y25" s="46"/>
      <c r="Z25" s="46"/>
      <c r="AA25" s="43"/>
      <c r="AB25" s="43"/>
    </row>
    <row r="26" spans="1:28">
      <c r="A26" s="46"/>
      <c r="B26" s="46"/>
      <c r="C26" s="46"/>
      <c r="D26" s="46"/>
      <c r="E26" s="46"/>
      <c r="F26" s="46"/>
      <c r="G26" s="46"/>
      <c r="H26" s="46"/>
      <c r="I26" s="46"/>
      <c r="J26" s="46"/>
      <c r="R26" s="46"/>
      <c r="S26" s="46"/>
      <c r="T26" s="46"/>
      <c r="U26" s="46"/>
      <c r="V26" s="46"/>
      <c r="W26" s="46"/>
      <c r="X26" s="46"/>
      <c r="Y26" s="46"/>
      <c r="Z26" s="46"/>
      <c r="AA26" s="43"/>
      <c r="AB26" s="43"/>
    </row>
    <row r="27" spans="1:28">
      <c r="A27" s="46"/>
      <c r="B27" s="46"/>
      <c r="C27" s="46"/>
      <c r="D27" s="46"/>
      <c r="E27" s="46"/>
      <c r="F27" s="46"/>
      <c r="G27" s="46"/>
      <c r="H27" s="46"/>
      <c r="I27" s="46"/>
      <c r="J27" s="46"/>
      <c r="R27" s="46"/>
      <c r="S27" s="46"/>
      <c r="T27" s="46"/>
      <c r="U27" s="46"/>
      <c r="V27" s="46"/>
      <c r="W27" s="46"/>
      <c r="X27" s="46"/>
      <c r="Y27" s="46"/>
      <c r="Z27" s="46"/>
      <c r="AA27" s="43"/>
      <c r="AB27" s="43"/>
    </row>
    <row r="28" spans="1:28">
      <c r="A28" s="46"/>
      <c r="B28" s="46"/>
      <c r="C28" s="46"/>
      <c r="D28" s="46"/>
      <c r="E28" s="46"/>
      <c r="F28" s="46"/>
      <c r="G28" s="46"/>
      <c r="H28" s="46"/>
      <c r="I28" s="46"/>
      <c r="J28" s="46"/>
      <c r="R28" s="46"/>
      <c r="S28" s="46"/>
      <c r="T28" s="46"/>
      <c r="U28" s="46"/>
      <c r="V28" s="46"/>
      <c r="W28" s="46"/>
      <c r="X28" s="46"/>
      <c r="Y28" s="46"/>
      <c r="Z28" s="46"/>
      <c r="AA28" s="43"/>
      <c r="AB28" s="43"/>
    </row>
    <row r="29" spans="1:28">
      <c r="A29" s="46"/>
      <c r="B29" s="46"/>
      <c r="C29" s="46"/>
      <c r="D29" s="46"/>
      <c r="E29" s="46"/>
      <c r="F29" s="46"/>
      <c r="G29" s="46"/>
      <c r="H29" s="46"/>
      <c r="I29" s="46"/>
      <c r="J29" s="46"/>
      <c r="R29" s="46"/>
      <c r="S29" s="46"/>
      <c r="T29" s="46"/>
      <c r="U29" s="46"/>
      <c r="V29" s="46"/>
      <c r="W29" s="46"/>
      <c r="X29" s="46"/>
      <c r="Y29" s="46"/>
      <c r="Z29" s="46"/>
      <c r="AA29" s="43"/>
      <c r="AB29" s="43"/>
    </row>
    <row r="30" spans="1:28">
      <c r="A30" s="46"/>
      <c r="B30" s="46"/>
      <c r="C30" s="46"/>
      <c r="D30" s="46"/>
      <c r="E30" s="46"/>
      <c r="F30" s="46"/>
      <c r="G30" s="46"/>
      <c r="H30" s="46"/>
      <c r="I30" s="46"/>
      <c r="J30" s="46"/>
      <c r="R30" s="46"/>
      <c r="S30" s="46"/>
      <c r="T30" s="46"/>
      <c r="U30" s="46"/>
      <c r="V30" s="46"/>
      <c r="W30" s="46"/>
      <c r="X30" s="46"/>
      <c r="Y30" s="46"/>
      <c r="Z30" s="46"/>
      <c r="AA30" s="43"/>
      <c r="AB30" s="43"/>
    </row>
    <row r="31" spans="1:28">
      <c r="A31" s="46"/>
      <c r="B31" s="46"/>
      <c r="C31" s="46"/>
      <c r="D31" s="46"/>
      <c r="E31" s="46"/>
      <c r="F31" s="46"/>
      <c r="G31" s="46"/>
      <c r="H31" s="46"/>
      <c r="I31" s="46"/>
      <c r="J31" s="46"/>
      <c r="R31" s="46"/>
      <c r="S31" s="46"/>
      <c r="T31" s="46"/>
      <c r="U31" s="46"/>
      <c r="V31" s="46"/>
      <c r="W31" s="46"/>
      <c r="X31" s="46"/>
      <c r="Y31" s="46"/>
      <c r="Z31" s="46"/>
      <c r="AA31" s="43"/>
      <c r="AB31" s="43"/>
    </row>
    <row r="32" spans="1:28">
      <c r="A32" s="46"/>
      <c r="B32" s="46"/>
      <c r="C32" s="46"/>
      <c r="D32" s="46"/>
      <c r="E32" s="46"/>
      <c r="F32" s="46"/>
      <c r="G32" s="46"/>
      <c r="H32" s="46"/>
      <c r="I32" s="46"/>
      <c r="J32" s="46"/>
      <c r="R32" s="46"/>
      <c r="S32" s="46"/>
      <c r="T32" s="46"/>
      <c r="U32" s="46"/>
      <c r="V32" s="46"/>
      <c r="W32" s="46"/>
      <c r="X32" s="46"/>
      <c r="Y32" s="46"/>
      <c r="Z32" s="46"/>
      <c r="AA32" s="43"/>
      <c r="AB32" s="43"/>
    </row>
    <row r="33" spans="1:28">
      <c r="A33" s="46"/>
      <c r="B33" s="46"/>
      <c r="C33" s="46"/>
      <c r="D33" s="46"/>
      <c r="E33" s="46"/>
      <c r="F33" s="46"/>
      <c r="G33" s="46"/>
      <c r="H33" s="46"/>
      <c r="I33" s="46"/>
      <c r="J33" s="46"/>
      <c r="R33" s="46"/>
      <c r="S33" s="46"/>
      <c r="T33" s="46"/>
      <c r="U33" s="46"/>
      <c r="V33" s="46"/>
      <c r="W33" s="46"/>
      <c r="X33" s="46"/>
      <c r="Y33" s="46"/>
      <c r="Z33" s="46"/>
      <c r="AA33" s="43"/>
      <c r="AB33" s="43"/>
    </row>
    <row r="34" spans="1:28">
      <c r="B34" s="45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</sheetData>
  <pageMargins left="0.7" right="0.7" top="0.75" bottom="0.75" header="0.3" footer="0.3"/>
  <pageSetup paperSize="9" scale="59" orientation="landscape" r:id="rId1"/>
  <drawing r:id="rId2"/>
  <legacyDrawing r:id="rId3"/>
  <oleObjects>
    <mc:AlternateContent xmlns:mc="http://schemas.openxmlformats.org/markup-compatibility/2006">
      <mc:Choice Requires="x14">
        <oleObject progId="Word.Document.12" shapeId="3085" r:id="rId4">
          <objectPr defaultSize="0" r:id="rId5">
            <anchor moveWithCells="1">
              <from>
                <xdr:col>13</xdr:col>
                <xdr:colOff>358140</xdr:colOff>
                <xdr:row>11</xdr:row>
                <xdr:rowOff>49530</xdr:rowOff>
              </from>
              <to>
                <xdr:col>15</xdr:col>
                <xdr:colOff>697230</xdr:colOff>
                <xdr:row>12</xdr:row>
                <xdr:rowOff>152400</xdr:rowOff>
              </to>
            </anchor>
          </objectPr>
        </oleObject>
      </mc:Choice>
      <mc:Fallback>
        <oleObject progId="Word.Document.12" shapeId="3085" r:id="rId4"/>
      </mc:Fallback>
    </mc:AlternateContent>
    <mc:AlternateContent xmlns:mc="http://schemas.openxmlformats.org/markup-compatibility/2006">
      <mc:Choice Requires="x14">
        <oleObject progId="Word.Document.12" shapeId="3086" r:id="rId6">
          <objectPr defaultSize="0" r:id="rId7">
            <anchor moveWithCells="1">
              <from>
                <xdr:col>13</xdr:col>
                <xdr:colOff>361950</xdr:colOff>
                <xdr:row>13</xdr:row>
                <xdr:rowOff>396240</xdr:rowOff>
              </from>
              <to>
                <xdr:col>15</xdr:col>
                <xdr:colOff>697230</xdr:colOff>
                <xdr:row>14</xdr:row>
                <xdr:rowOff>7620</xdr:rowOff>
              </to>
            </anchor>
          </objectPr>
        </oleObject>
      </mc:Choice>
      <mc:Fallback>
        <oleObject progId="Word.Document.12" shapeId="3086" r:id="rId6"/>
      </mc:Fallback>
    </mc:AlternateContent>
    <mc:AlternateContent xmlns:mc="http://schemas.openxmlformats.org/markup-compatibility/2006">
      <mc:Choice Requires="x14">
        <oleObject progId="Word.Document.12" shapeId="3087" r:id="rId8">
          <objectPr defaultSize="0" r:id="rId9">
            <anchor moveWithCells="1">
              <from>
                <xdr:col>13</xdr:col>
                <xdr:colOff>358140</xdr:colOff>
                <xdr:row>13</xdr:row>
                <xdr:rowOff>45720</xdr:rowOff>
              </from>
              <to>
                <xdr:col>15</xdr:col>
                <xdr:colOff>697230</xdr:colOff>
                <xdr:row>13</xdr:row>
                <xdr:rowOff>323850</xdr:rowOff>
              </to>
            </anchor>
          </objectPr>
        </oleObject>
      </mc:Choice>
      <mc:Fallback>
        <oleObject progId="Word.Document.12" shapeId="3087" r:id="rId8"/>
      </mc:Fallback>
    </mc:AlternateContent>
    <mc:AlternateContent xmlns:mc="http://schemas.openxmlformats.org/markup-compatibility/2006">
      <mc:Choice Requires="x14">
        <oleObject progId="Word.Document.12" shapeId="3088" r:id="rId10">
          <objectPr defaultSize="0" r:id="rId11">
            <anchor moveWithCells="1">
              <from>
                <xdr:col>13</xdr:col>
                <xdr:colOff>358140</xdr:colOff>
                <xdr:row>14</xdr:row>
                <xdr:rowOff>102870</xdr:rowOff>
              </from>
              <to>
                <xdr:col>15</xdr:col>
                <xdr:colOff>697230</xdr:colOff>
                <xdr:row>16</xdr:row>
                <xdr:rowOff>30480</xdr:rowOff>
              </to>
            </anchor>
          </objectPr>
        </oleObject>
      </mc:Choice>
      <mc:Fallback>
        <oleObject progId="Word.Document.12" shapeId="3088" r:id="rId10"/>
      </mc:Fallback>
    </mc:AlternateContent>
    <mc:AlternateContent xmlns:mc="http://schemas.openxmlformats.org/markup-compatibility/2006">
      <mc:Choice Requires="x14">
        <oleObject progId="Word.Document.12" shapeId="3089" r:id="rId12">
          <objectPr defaultSize="0" r:id="rId13">
            <anchor moveWithCells="1">
              <from>
                <xdr:col>0</xdr:col>
                <xdr:colOff>91440</xdr:colOff>
                <xdr:row>21</xdr:row>
                <xdr:rowOff>80010</xdr:rowOff>
              </from>
              <to>
                <xdr:col>2</xdr:col>
                <xdr:colOff>502920</xdr:colOff>
                <xdr:row>31</xdr:row>
                <xdr:rowOff>26670</xdr:rowOff>
              </to>
            </anchor>
          </objectPr>
        </oleObject>
      </mc:Choice>
      <mc:Fallback>
        <oleObject progId="Word.Document.12" shapeId="3089" r:id="rId12"/>
      </mc:Fallback>
    </mc:AlternateContent>
    <mc:AlternateContent xmlns:mc="http://schemas.openxmlformats.org/markup-compatibility/2006">
      <mc:Choice Requires="x14">
        <oleObject progId="Word.Document.12" shapeId="3094" r:id="rId14">
          <objectPr defaultSize="0" r:id="rId15">
            <anchor moveWithCells="1">
              <from>
                <xdr:col>6</xdr:col>
                <xdr:colOff>849630</xdr:colOff>
                <xdr:row>21</xdr:row>
                <xdr:rowOff>60960</xdr:rowOff>
              </from>
              <to>
                <xdr:col>9</xdr:col>
                <xdr:colOff>26670</xdr:colOff>
                <xdr:row>31</xdr:row>
                <xdr:rowOff>7620</xdr:rowOff>
              </to>
            </anchor>
          </objectPr>
        </oleObject>
      </mc:Choice>
      <mc:Fallback>
        <oleObject progId="Word.Document.12" shapeId="3094" r:id="rId1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84F3-86D1-477C-85C7-CCEBB0C7131B}">
  <dimension ref="A4:CA29"/>
  <sheetViews>
    <sheetView topLeftCell="A12" workbookViewId="0"/>
  </sheetViews>
  <sheetFormatPr defaultRowHeight="14.4"/>
  <cols>
    <col min="1" max="5" width="8.578125" customWidth="1"/>
    <col min="6" max="6" width="10.47265625" customWidth="1"/>
    <col min="7" max="7" width="10.578125" customWidth="1"/>
    <col min="8" max="8" width="20.578125" customWidth="1"/>
    <col min="9" max="9" width="3.68359375" customWidth="1"/>
    <col min="10" max="15" width="8.578125" customWidth="1"/>
    <col min="16" max="16" width="10.578125" customWidth="1"/>
    <col min="17" max="17" width="20.578125" customWidth="1"/>
    <col min="18" max="18" width="3.41796875" customWidth="1"/>
    <col min="19" max="24" width="8.578125" customWidth="1"/>
    <col min="25" max="25" width="10.578125" customWidth="1"/>
    <col min="26" max="26" width="20.578125" customWidth="1"/>
    <col min="27" max="27" width="4" customWidth="1"/>
    <col min="28" max="33" width="8.578125" customWidth="1"/>
    <col min="34" max="34" width="10.578125" customWidth="1"/>
    <col min="35" max="35" width="20.578125" customWidth="1"/>
    <col min="36" max="36" width="3.578125" customWidth="1"/>
    <col min="37" max="42" width="8.578125" customWidth="1"/>
    <col min="43" max="43" width="10.578125" customWidth="1"/>
    <col min="44" max="44" width="20.578125" customWidth="1"/>
    <col min="45" max="45" width="4.41796875" customWidth="1"/>
    <col min="46" max="51" width="8.578125" customWidth="1"/>
    <col min="52" max="52" width="10.578125" customWidth="1"/>
    <col min="53" max="53" width="20.578125" customWidth="1"/>
    <col min="54" max="54" width="3.68359375" customWidth="1"/>
    <col min="55" max="60" width="8.578125" customWidth="1"/>
    <col min="61" max="61" width="10.578125" customWidth="1"/>
    <col min="62" max="62" width="20.578125" customWidth="1"/>
    <col min="63" max="63" width="3.68359375" customWidth="1"/>
    <col min="64" max="69" width="8.578125" customWidth="1"/>
    <col min="70" max="70" width="10.578125" customWidth="1"/>
    <col min="71" max="71" width="20.578125" customWidth="1"/>
    <col min="72" max="72" width="3.15625" customWidth="1"/>
    <col min="73" max="73" width="17.578125" customWidth="1"/>
  </cols>
  <sheetData>
    <row r="4" spans="1:79">
      <c r="A4" s="2" t="s">
        <v>8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</row>
    <row r="5" spans="1:79">
      <c r="A5" s="2" t="s">
        <v>9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</row>
    <row r="6" spans="1:79">
      <c r="A6" s="2" t="s">
        <v>10</v>
      </c>
      <c r="B6" s="2"/>
      <c r="C6" s="2" t="s">
        <v>11</v>
      </c>
      <c r="D6" s="2"/>
      <c r="E6" s="2" t="s">
        <v>12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</row>
    <row r="7" spans="1:79">
      <c r="A7" s="2" t="s">
        <v>13</v>
      </c>
      <c r="B7" s="2"/>
      <c r="C7" s="2" t="s">
        <v>89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</row>
    <row r="8" spans="1:79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</row>
    <row r="9" spans="1:79">
      <c r="A9" s="16"/>
      <c r="B9" s="9" t="s">
        <v>14</v>
      </c>
      <c r="C9" s="9"/>
      <c r="D9" s="9"/>
      <c r="E9" s="9"/>
      <c r="F9" s="10"/>
      <c r="G9" s="10"/>
      <c r="H9" s="15" t="s">
        <v>15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</row>
    <row r="10" spans="1:79">
      <c r="A10" s="11" t="s">
        <v>16</v>
      </c>
      <c r="B10" s="17"/>
      <c r="C10" s="17"/>
      <c r="D10" s="17"/>
      <c r="E10" s="17"/>
      <c r="F10" s="18"/>
      <c r="G10" s="18"/>
      <c r="H10" s="6">
        <v>4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</row>
    <row r="11" spans="1:79">
      <c r="A11" s="11" t="s">
        <v>17</v>
      </c>
      <c r="B11" s="17"/>
      <c r="C11" s="17"/>
      <c r="D11" s="17"/>
      <c r="E11" s="17"/>
      <c r="F11" s="18"/>
      <c r="G11" s="18"/>
      <c r="H11" s="6">
        <v>7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</row>
    <row r="12" spans="1:79">
      <c r="A12" s="11" t="s">
        <v>18</v>
      </c>
      <c r="B12" s="17"/>
      <c r="C12" s="17"/>
      <c r="D12" s="17"/>
      <c r="E12" s="17"/>
      <c r="F12" s="18"/>
      <c r="G12" s="18"/>
      <c r="H12" s="6">
        <v>10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</row>
    <row r="13" spans="1:79">
      <c r="A13" s="11" t="s">
        <v>19</v>
      </c>
      <c r="B13" s="17"/>
      <c r="C13" s="17"/>
      <c r="D13" s="17"/>
      <c r="E13" s="17"/>
      <c r="F13" s="18"/>
      <c r="G13" s="18"/>
      <c r="H13" s="6">
        <v>12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</row>
    <row r="14" spans="1:79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</row>
    <row r="15" spans="1:79">
      <c r="A15" s="16" t="s">
        <v>20</v>
      </c>
      <c r="B15" s="9"/>
      <c r="C15" s="9"/>
      <c r="D15" s="9"/>
      <c r="E15" s="9"/>
      <c r="F15" s="9"/>
      <c r="G15" s="9"/>
      <c r="H15" s="10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 t="s">
        <v>21</v>
      </c>
      <c r="BY15" s="2"/>
      <c r="BZ15" s="2"/>
      <c r="CA15" s="2"/>
    </row>
    <row r="16" spans="1:79" ht="35.5" customHeight="1">
      <c r="A16" s="15" t="s">
        <v>22</v>
      </c>
      <c r="B16" s="19" t="s">
        <v>23</v>
      </c>
      <c r="C16" s="19" t="s">
        <v>24</v>
      </c>
      <c r="D16" s="15" t="s">
        <v>15</v>
      </c>
      <c r="E16" s="19" t="s">
        <v>25</v>
      </c>
      <c r="F16" s="19" t="s">
        <v>88</v>
      </c>
      <c r="G16" s="19" t="s">
        <v>27</v>
      </c>
      <c r="H16" s="15" t="s">
        <v>28</v>
      </c>
      <c r="I16" s="2"/>
      <c r="J16" s="15" t="s">
        <v>22</v>
      </c>
      <c r="K16" s="19" t="s">
        <v>23</v>
      </c>
      <c r="L16" s="15" t="s">
        <v>24</v>
      </c>
      <c r="M16" s="15" t="s">
        <v>15</v>
      </c>
      <c r="N16" s="19" t="s">
        <v>25</v>
      </c>
      <c r="O16" s="19" t="s">
        <v>26</v>
      </c>
      <c r="P16" s="19" t="s">
        <v>27</v>
      </c>
      <c r="Q16" s="15" t="s">
        <v>28</v>
      </c>
      <c r="R16" s="2"/>
      <c r="S16" s="14" t="s">
        <v>22</v>
      </c>
      <c r="T16" s="20" t="s">
        <v>23</v>
      </c>
      <c r="U16" s="14" t="s">
        <v>24</v>
      </c>
      <c r="V16" s="15" t="s">
        <v>15</v>
      </c>
      <c r="W16" s="20" t="s">
        <v>25</v>
      </c>
      <c r="X16" s="19" t="s">
        <v>26</v>
      </c>
      <c r="Y16" s="19" t="s">
        <v>27</v>
      </c>
      <c r="Z16" s="15" t="s">
        <v>28</v>
      </c>
      <c r="AA16" s="2"/>
      <c r="AB16" s="14" t="s">
        <v>22</v>
      </c>
      <c r="AC16" s="20" t="s">
        <v>23</v>
      </c>
      <c r="AD16" s="14" t="s">
        <v>24</v>
      </c>
      <c r="AE16" s="15" t="s">
        <v>15</v>
      </c>
      <c r="AF16" s="20" t="s">
        <v>25</v>
      </c>
      <c r="AG16" s="19" t="s">
        <v>26</v>
      </c>
      <c r="AH16" s="19" t="s">
        <v>27</v>
      </c>
      <c r="AI16" s="15" t="s">
        <v>28</v>
      </c>
      <c r="AJ16" s="2"/>
      <c r="AK16" s="14" t="s">
        <v>22</v>
      </c>
      <c r="AL16" s="20" t="s">
        <v>23</v>
      </c>
      <c r="AM16" s="14" t="s">
        <v>24</v>
      </c>
      <c r="AN16" s="15" t="s">
        <v>15</v>
      </c>
      <c r="AO16" s="20" t="s">
        <v>25</v>
      </c>
      <c r="AP16" s="19" t="s">
        <v>26</v>
      </c>
      <c r="AQ16" s="19" t="s">
        <v>27</v>
      </c>
      <c r="AR16" s="15" t="s">
        <v>28</v>
      </c>
      <c r="AS16" s="2"/>
      <c r="AT16" s="14" t="s">
        <v>22</v>
      </c>
      <c r="AU16" s="20" t="s">
        <v>23</v>
      </c>
      <c r="AV16" s="14" t="s">
        <v>24</v>
      </c>
      <c r="AW16" s="15" t="s">
        <v>15</v>
      </c>
      <c r="AX16" s="20" t="s">
        <v>25</v>
      </c>
      <c r="AY16" s="19" t="s">
        <v>26</v>
      </c>
      <c r="AZ16" s="19" t="s">
        <v>27</v>
      </c>
      <c r="BA16" s="15" t="s">
        <v>28</v>
      </c>
      <c r="BB16" s="2"/>
      <c r="BC16" s="14" t="s">
        <v>22</v>
      </c>
      <c r="BD16" s="20" t="s">
        <v>23</v>
      </c>
      <c r="BE16" s="14" t="s">
        <v>24</v>
      </c>
      <c r="BF16" s="15" t="s">
        <v>15</v>
      </c>
      <c r="BG16" s="20" t="s">
        <v>25</v>
      </c>
      <c r="BH16" s="19" t="s">
        <v>26</v>
      </c>
      <c r="BI16" s="19" t="s">
        <v>27</v>
      </c>
      <c r="BJ16" s="15" t="s">
        <v>28</v>
      </c>
      <c r="BK16" s="2"/>
      <c r="BL16" s="14" t="s">
        <v>22</v>
      </c>
      <c r="BM16" s="20" t="s">
        <v>23</v>
      </c>
      <c r="BN16" s="14" t="s">
        <v>24</v>
      </c>
      <c r="BO16" s="15" t="s">
        <v>15</v>
      </c>
      <c r="BP16" s="20" t="s">
        <v>25</v>
      </c>
      <c r="BQ16" s="19" t="s">
        <v>26</v>
      </c>
      <c r="BR16" s="19" t="s">
        <v>27</v>
      </c>
      <c r="BS16" s="15" t="s">
        <v>28</v>
      </c>
      <c r="BT16" s="2"/>
      <c r="BU16" s="15" t="s">
        <v>28</v>
      </c>
      <c r="BV16" s="19" t="s">
        <v>27</v>
      </c>
      <c r="BW16" s="2"/>
      <c r="BX16" s="2"/>
      <c r="BY16" s="2" t="s">
        <v>29</v>
      </c>
      <c r="BZ16" s="2"/>
      <c r="CA16" s="2" t="s">
        <v>30</v>
      </c>
    </row>
    <row r="17" spans="1:79" ht="72">
      <c r="A17" s="6" t="s">
        <v>31</v>
      </c>
      <c r="B17" s="6">
        <v>0</v>
      </c>
      <c r="C17" s="6">
        <v>2</v>
      </c>
      <c r="D17" s="6">
        <f>$H$10</f>
        <v>4</v>
      </c>
      <c r="E17" s="6">
        <f>C17*D17</f>
        <v>8</v>
      </c>
      <c r="F17" s="6">
        <f>E17*100</f>
        <v>800</v>
      </c>
      <c r="G17" s="4"/>
      <c r="H17" s="21" t="s">
        <v>32</v>
      </c>
      <c r="I17" s="2"/>
      <c r="J17" s="6" t="s">
        <v>33</v>
      </c>
      <c r="K17" s="6">
        <f t="shared" ref="K17:K29" si="0">B17</f>
        <v>0</v>
      </c>
      <c r="L17" s="6">
        <v>3</v>
      </c>
      <c r="M17" s="6">
        <f>$H$10</f>
        <v>4</v>
      </c>
      <c r="N17" s="6">
        <f>L17*M17</f>
        <v>12</v>
      </c>
      <c r="O17" s="6">
        <f>N17*100</f>
        <v>1200</v>
      </c>
      <c r="P17" s="6"/>
      <c r="Q17" s="22" t="s">
        <v>32</v>
      </c>
      <c r="R17" s="2"/>
      <c r="S17" s="6" t="s">
        <v>34</v>
      </c>
      <c r="T17" s="6">
        <f>K17</f>
        <v>0</v>
      </c>
      <c r="U17" s="6">
        <v>3</v>
      </c>
      <c r="V17" s="6">
        <f>$H$10</f>
        <v>4</v>
      </c>
      <c r="W17" s="6">
        <f>U17*V17</f>
        <v>12</v>
      </c>
      <c r="X17" s="6">
        <f>W17*100</f>
        <v>1200</v>
      </c>
      <c r="Y17" s="6"/>
      <c r="Z17" s="22" t="s">
        <v>32</v>
      </c>
      <c r="AA17" s="2"/>
      <c r="AB17" s="6" t="s">
        <v>35</v>
      </c>
      <c r="AC17" s="6">
        <f>T17</f>
        <v>0</v>
      </c>
      <c r="AD17" s="6">
        <v>2</v>
      </c>
      <c r="AE17" s="6">
        <f>$H$10</f>
        <v>4</v>
      </c>
      <c r="AF17" s="6">
        <f>AD17*AE17</f>
        <v>8</v>
      </c>
      <c r="AG17" s="6">
        <f>AF17*100</f>
        <v>800</v>
      </c>
      <c r="AH17" s="6"/>
      <c r="AI17" s="22" t="s">
        <v>32</v>
      </c>
      <c r="AJ17" s="2"/>
      <c r="AK17" s="6" t="s">
        <v>36</v>
      </c>
      <c r="AL17" s="6">
        <f>AC17</f>
        <v>0</v>
      </c>
      <c r="AM17" s="6">
        <v>4</v>
      </c>
      <c r="AN17" s="6">
        <f>$H$10</f>
        <v>4</v>
      </c>
      <c r="AO17" s="6">
        <f>AM17*AN17</f>
        <v>16</v>
      </c>
      <c r="AP17" s="6">
        <f>AO17*100</f>
        <v>1600</v>
      </c>
      <c r="AQ17" s="6"/>
      <c r="AR17" s="22" t="s">
        <v>37</v>
      </c>
      <c r="AS17" s="2"/>
      <c r="AT17" s="6" t="s">
        <v>38</v>
      </c>
      <c r="AU17" s="6">
        <f>AL17</f>
        <v>0</v>
      </c>
      <c r="AV17" s="6">
        <v>4</v>
      </c>
      <c r="AW17" s="6">
        <f>$H$10</f>
        <v>4</v>
      </c>
      <c r="AX17" s="6">
        <f>AV17*AW17</f>
        <v>16</v>
      </c>
      <c r="AY17" s="6">
        <f>AX17*100</f>
        <v>1600</v>
      </c>
      <c r="AZ17" s="6"/>
      <c r="BA17" s="22" t="s">
        <v>37</v>
      </c>
      <c r="BB17" s="2"/>
      <c r="BC17" s="6" t="s">
        <v>39</v>
      </c>
      <c r="BD17" s="6">
        <f>AU17</f>
        <v>0</v>
      </c>
      <c r="BE17" s="6">
        <v>4</v>
      </c>
      <c r="BF17" s="6">
        <f>$H$10</f>
        <v>4</v>
      </c>
      <c r="BG17" s="6">
        <f>BE17*BF17</f>
        <v>16</v>
      </c>
      <c r="BH17" s="6">
        <f>BG17*100</f>
        <v>1600</v>
      </c>
      <c r="BI17" s="6"/>
      <c r="BJ17" s="22" t="s">
        <v>40</v>
      </c>
      <c r="BK17" s="2"/>
      <c r="BL17" s="6" t="s">
        <v>41</v>
      </c>
      <c r="BM17" s="6">
        <f>BD17</f>
        <v>0</v>
      </c>
      <c r="BN17" s="6">
        <v>3</v>
      </c>
      <c r="BO17" s="6">
        <f>$H$10</f>
        <v>4</v>
      </c>
      <c r="BP17" s="6">
        <f>BN17*BO17</f>
        <v>12</v>
      </c>
      <c r="BQ17" s="6">
        <f>BP17*100</f>
        <v>1200</v>
      </c>
      <c r="BR17" s="6"/>
      <c r="BS17" s="22" t="s">
        <v>42</v>
      </c>
      <c r="BT17" s="2"/>
      <c r="BU17" s="22" t="s">
        <v>37</v>
      </c>
      <c r="BV17" s="13">
        <f>AVERAGE(BR21,BI21,AZ18,AQ18,AH18,Y18,P21,G22)</f>
        <v>1198.3333333333333</v>
      </c>
      <c r="BW17" s="2">
        <v>-1</v>
      </c>
      <c r="BX17" s="2">
        <v>10000</v>
      </c>
      <c r="BY17" s="2">
        <v>28</v>
      </c>
      <c r="BZ17" s="2">
        <v>31</v>
      </c>
      <c r="CA17" s="2">
        <v>1.3</v>
      </c>
    </row>
    <row r="18" spans="1:79">
      <c r="A18" s="6"/>
      <c r="B18" s="6">
        <v>1.5</v>
      </c>
      <c r="C18" s="6">
        <v>2</v>
      </c>
      <c r="D18" s="6">
        <f t="shared" ref="D18:D22" si="1">$H$10</f>
        <v>4</v>
      </c>
      <c r="E18" s="6">
        <f t="shared" ref="E18:E22" si="2">C18*D18</f>
        <v>8</v>
      </c>
      <c r="F18" s="6">
        <f t="shared" ref="F18:F28" si="3">E18*100</f>
        <v>800</v>
      </c>
      <c r="G18" s="12"/>
      <c r="H18" s="23"/>
      <c r="I18" s="2"/>
      <c r="J18" s="6"/>
      <c r="K18" s="6">
        <f t="shared" si="0"/>
        <v>1.5</v>
      </c>
      <c r="L18" s="6">
        <v>2</v>
      </c>
      <c r="M18" s="6">
        <f t="shared" ref="M18:M21" si="4">$H$10</f>
        <v>4</v>
      </c>
      <c r="N18" s="6">
        <f t="shared" ref="N18:N29" si="5">L18*M18</f>
        <v>8</v>
      </c>
      <c r="O18" s="6">
        <f t="shared" ref="O18:O29" si="6">N18*100</f>
        <v>800</v>
      </c>
      <c r="P18" s="6"/>
      <c r="Q18" s="6"/>
      <c r="R18" s="2"/>
      <c r="S18" s="6"/>
      <c r="T18" s="6">
        <f t="shared" ref="T18:T29" si="7">K18</f>
        <v>1.5</v>
      </c>
      <c r="U18" s="6">
        <v>2</v>
      </c>
      <c r="V18" s="6">
        <f t="shared" ref="V18:V21" si="8">$H$10</f>
        <v>4</v>
      </c>
      <c r="W18" s="6">
        <f t="shared" ref="W18:W29" si="9">U18*V18</f>
        <v>8</v>
      </c>
      <c r="X18" s="6">
        <f t="shared" ref="X18:X29" si="10">W18*100</f>
        <v>800</v>
      </c>
      <c r="Y18" s="6">
        <f>AVERAGE(X17:X18)</f>
        <v>1000</v>
      </c>
      <c r="Z18" s="6"/>
      <c r="AA18" s="2"/>
      <c r="AB18" s="6"/>
      <c r="AC18" s="6">
        <f t="shared" ref="AC18:AC25" si="11">T18</f>
        <v>1.5</v>
      </c>
      <c r="AD18" s="6">
        <v>2</v>
      </c>
      <c r="AE18" s="6">
        <f t="shared" ref="AE18:AE21" si="12">$H$10</f>
        <v>4</v>
      </c>
      <c r="AF18" s="6">
        <f t="shared" ref="AF18:AF29" si="13">AD18*AE18</f>
        <v>8</v>
      </c>
      <c r="AG18" s="6">
        <f t="shared" ref="AG18:AG29" si="14">AF18*100</f>
        <v>800</v>
      </c>
      <c r="AH18" s="6">
        <f>AVERAGE(AG17:AG18)</f>
        <v>800</v>
      </c>
      <c r="AI18" s="6"/>
      <c r="AJ18" s="2"/>
      <c r="AK18" s="6"/>
      <c r="AL18" s="6">
        <f t="shared" ref="AL18:AL25" si="15">AC18</f>
        <v>1.5</v>
      </c>
      <c r="AM18" s="6">
        <v>2</v>
      </c>
      <c r="AN18" s="6">
        <f t="shared" ref="AN18:AN21" si="16">$H$10</f>
        <v>4</v>
      </c>
      <c r="AO18" s="6">
        <f t="shared" ref="AO18:AO29" si="17">AM18*AN18</f>
        <v>8</v>
      </c>
      <c r="AP18" s="6">
        <f t="shared" ref="AP18:AP29" si="18">AO18*100</f>
        <v>800</v>
      </c>
      <c r="AQ18" s="6">
        <f>AVERAGE(AP17:AP18)</f>
        <v>1200</v>
      </c>
      <c r="AR18" s="6"/>
      <c r="AS18" s="2"/>
      <c r="AT18" s="6"/>
      <c r="AU18" s="6">
        <f t="shared" ref="AU18:AU25" si="19">AL18</f>
        <v>1.5</v>
      </c>
      <c r="AV18" s="6">
        <v>2</v>
      </c>
      <c r="AW18" s="6">
        <f t="shared" ref="AW18:AW21" si="20">$H$10</f>
        <v>4</v>
      </c>
      <c r="AX18" s="6">
        <f t="shared" ref="AX18:AX29" si="21">AV18*AW18</f>
        <v>8</v>
      </c>
      <c r="AY18" s="6">
        <f t="shared" ref="AY18:AY29" si="22">AX18*100</f>
        <v>800</v>
      </c>
      <c r="AZ18" s="6">
        <f>AVERAGE(AY17:AY18)</f>
        <v>1200</v>
      </c>
      <c r="BA18" s="6"/>
      <c r="BB18" s="2"/>
      <c r="BC18" s="6"/>
      <c r="BD18" s="6">
        <f t="shared" ref="BD18:BD25" si="23">AU18</f>
        <v>1.5</v>
      </c>
      <c r="BE18" s="6">
        <v>2</v>
      </c>
      <c r="BF18" s="6">
        <f t="shared" ref="BF18:BF21" si="24">$H$10</f>
        <v>4</v>
      </c>
      <c r="BG18" s="6">
        <f t="shared" ref="BG18:BG29" si="25">BE18*BF18</f>
        <v>8</v>
      </c>
      <c r="BH18" s="6">
        <f t="shared" ref="BH18:BH29" si="26">BG18*100</f>
        <v>800</v>
      </c>
      <c r="BI18" s="6"/>
      <c r="BJ18" s="6"/>
      <c r="BK18" s="2"/>
      <c r="BL18" s="6"/>
      <c r="BM18" s="6">
        <f t="shared" ref="BM18:BM25" si="27">BD18</f>
        <v>1.5</v>
      </c>
      <c r="BN18" s="6">
        <v>2</v>
      </c>
      <c r="BO18" s="6">
        <f t="shared" ref="BO18:BO21" si="28">$H$10</f>
        <v>4</v>
      </c>
      <c r="BP18" s="6">
        <f t="shared" ref="BP18:BP29" si="29">BN18*BO18</f>
        <v>8</v>
      </c>
      <c r="BQ18" s="6">
        <f t="shared" ref="BQ18:BQ29" si="30">BP18*100</f>
        <v>800</v>
      </c>
      <c r="BR18" s="6"/>
      <c r="BS18" s="6"/>
      <c r="BT18" s="2"/>
      <c r="BU18" s="2"/>
      <c r="BV18" s="2"/>
      <c r="BW18" s="2"/>
      <c r="BX18" s="2"/>
      <c r="BY18" s="2"/>
      <c r="BZ18" s="2"/>
      <c r="CA18" s="2"/>
    </row>
    <row r="19" spans="1:79" ht="43.2">
      <c r="A19" s="6"/>
      <c r="B19" s="6">
        <v>3</v>
      </c>
      <c r="C19" s="6">
        <v>4</v>
      </c>
      <c r="D19" s="6">
        <f t="shared" si="1"/>
        <v>4</v>
      </c>
      <c r="E19" s="6">
        <f t="shared" si="2"/>
        <v>16</v>
      </c>
      <c r="F19" s="6">
        <f t="shared" si="3"/>
        <v>1600</v>
      </c>
      <c r="G19" s="12"/>
      <c r="H19" s="23"/>
      <c r="I19" s="2"/>
      <c r="J19" s="6"/>
      <c r="K19" s="6">
        <f t="shared" si="0"/>
        <v>3</v>
      </c>
      <c r="L19" s="6">
        <v>2</v>
      </c>
      <c r="M19" s="6">
        <f t="shared" si="4"/>
        <v>4</v>
      </c>
      <c r="N19" s="6">
        <f t="shared" si="5"/>
        <v>8</v>
      </c>
      <c r="O19" s="6">
        <f t="shared" si="6"/>
        <v>800</v>
      </c>
      <c r="P19" s="6"/>
      <c r="Q19" s="6"/>
      <c r="R19" s="2"/>
      <c r="S19" s="6"/>
      <c r="T19" s="6">
        <f t="shared" si="7"/>
        <v>3</v>
      </c>
      <c r="U19" s="6">
        <v>3</v>
      </c>
      <c r="V19" s="6">
        <f t="shared" si="8"/>
        <v>4</v>
      </c>
      <c r="W19" s="6">
        <f t="shared" si="9"/>
        <v>12</v>
      </c>
      <c r="X19" s="6">
        <f t="shared" si="10"/>
        <v>1200</v>
      </c>
      <c r="Y19" s="6">
        <f>X19</f>
        <v>1200</v>
      </c>
      <c r="Z19" s="24" t="s">
        <v>43</v>
      </c>
      <c r="AA19" s="2"/>
      <c r="AB19" s="6"/>
      <c r="AC19" s="6">
        <f t="shared" si="11"/>
        <v>3</v>
      </c>
      <c r="AD19" s="6">
        <v>2</v>
      </c>
      <c r="AE19" s="6">
        <f t="shared" si="12"/>
        <v>4</v>
      </c>
      <c r="AF19" s="6">
        <f t="shared" si="13"/>
        <v>8</v>
      </c>
      <c r="AG19" s="6">
        <f t="shared" si="14"/>
        <v>800</v>
      </c>
      <c r="AH19" s="6">
        <f>AG19</f>
        <v>800</v>
      </c>
      <c r="AI19" s="24" t="s">
        <v>43</v>
      </c>
      <c r="AJ19" s="2"/>
      <c r="AK19" s="6"/>
      <c r="AL19" s="6">
        <f t="shared" si="15"/>
        <v>3</v>
      </c>
      <c r="AM19" s="6">
        <v>2</v>
      </c>
      <c r="AN19" s="6">
        <f t="shared" si="16"/>
        <v>4</v>
      </c>
      <c r="AO19" s="6">
        <f t="shared" si="17"/>
        <v>8</v>
      </c>
      <c r="AP19" s="6">
        <f t="shared" si="18"/>
        <v>800</v>
      </c>
      <c r="AQ19" s="6">
        <f>AP19</f>
        <v>800</v>
      </c>
      <c r="AR19" s="24" t="s">
        <v>43</v>
      </c>
      <c r="AS19" s="2"/>
      <c r="AT19" s="6"/>
      <c r="AU19" s="6">
        <f t="shared" si="19"/>
        <v>3</v>
      </c>
      <c r="AV19" s="6">
        <v>3</v>
      </c>
      <c r="AW19" s="6">
        <f t="shared" si="20"/>
        <v>4</v>
      </c>
      <c r="AX19" s="6">
        <f t="shared" si="21"/>
        <v>12</v>
      </c>
      <c r="AY19" s="6">
        <f t="shared" si="22"/>
        <v>1200</v>
      </c>
      <c r="AZ19" s="6">
        <f>AY19</f>
        <v>1200</v>
      </c>
      <c r="BA19" s="24" t="s">
        <v>43</v>
      </c>
      <c r="BB19" s="2"/>
      <c r="BC19" s="6"/>
      <c r="BD19" s="6">
        <f t="shared" si="23"/>
        <v>3</v>
      </c>
      <c r="BE19" s="6">
        <v>3</v>
      </c>
      <c r="BF19" s="6">
        <f t="shared" si="24"/>
        <v>4</v>
      </c>
      <c r="BG19" s="6">
        <f t="shared" si="25"/>
        <v>12</v>
      </c>
      <c r="BH19" s="6">
        <f t="shared" si="26"/>
        <v>1200</v>
      </c>
      <c r="BI19" s="6"/>
      <c r="BJ19" s="8"/>
      <c r="BK19" s="2"/>
      <c r="BL19" s="6"/>
      <c r="BM19" s="6">
        <f t="shared" si="27"/>
        <v>3</v>
      </c>
      <c r="BN19" s="6">
        <v>4</v>
      </c>
      <c r="BO19" s="6">
        <f t="shared" si="28"/>
        <v>4</v>
      </c>
      <c r="BP19" s="6">
        <f t="shared" si="29"/>
        <v>16</v>
      </c>
      <c r="BQ19" s="6">
        <f t="shared" si="30"/>
        <v>1600</v>
      </c>
      <c r="BR19" s="6"/>
      <c r="BS19" s="8"/>
      <c r="BT19" s="2"/>
      <c r="BU19" s="24" t="s">
        <v>43</v>
      </c>
      <c r="BV19" s="13">
        <f>AVERAGE(Y19,Y21,AH19,AQ19,AQ21,AZ19,AZ21,BR23)</f>
        <v>4512.5</v>
      </c>
      <c r="BW19" s="2">
        <v>-6</v>
      </c>
      <c r="BX19" s="2">
        <v>12000</v>
      </c>
      <c r="BY19" s="2">
        <v>29</v>
      </c>
      <c r="BZ19" s="2">
        <v>32</v>
      </c>
      <c r="CA19" s="2">
        <v>1.4</v>
      </c>
    </row>
    <row r="20" spans="1:79" ht="43.2">
      <c r="A20" s="6"/>
      <c r="B20" s="6">
        <v>4.5</v>
      </c>
      <c r="C20" s="6">
        <v>3</v>
      </c>
      <c r="D20" s="6">
        <f t="shared" si="1"/>
        <v>4</v>
      </c>
      <c r="E20" s="6">
        <f t="shared" si="2"/>
        <v>12</v>
      </c>
      <c r="F20" s="6">
        <f>E20*100</f>
        <v>1200</v>
      </c>
      <c r="G20" s="12"/>
      <c r="H20" s="23"/>
      <c r="I20" s="2"/>
      <c r="J20" s="6"/>
      <c r="K20" s="6">
        <f t="shared" si="0"/>
        <v>4.5</v>
      </c>
      <c r="L20" s="6">
        <v>5</v>
      </c>
      <c r="M20" s="6">
        <f t="shared" si="4"/>
        <v>4</v>
      </c>
      <c r="N20" s="6">
        <f t="shared" si="5"/>
        <v>20</v>
      </c>
      <c r="O20" s="6">
        <f t="shared" si="6"/>
        <v>2000</v>
      </c>
      <c r="P20" s="6"/>
      <c r="Q20" s="6"/>
      <c r="R20" s="2"/>
      <c r="S20" s="6"/>
      <c r="T20" s="6">
        <f t="shared" si="7"/>
        <v>4.5</v>
      </c>
      <c r="U20" s="6">
        <v>3</v>
      </c>
      <c r="V20" s="6">
        <f t="shared" si="8"/>
        <v>4</v>
      </c>
      <c r="W20" s="6">
        <f t="shared" si="9"/>
        <v>12</v>
      </c>
      <c r="X20" s="6">
        <f t="shared" si="10"/>
        <v>1200</v>
      </c>
      <c r="Y20" s="6"/>
      <c r="Z20" s="24" t="s">
        <v>44</v>
      </c>
      <c r="AA20" s="2"/>
      <c r="AB20" s="6"/>
      <c r="AC20" s="6">
        <f t="shared" si="11"/>
        <v>4.5</v>
      </c>
      <c r="AD20" s="6">
        <v>2</v>
      </c>
      <c r="AE20" s="6">
        <f t="shared" si="12"/>
        <v>4</v>
      </c>
      <c r="AF20" s="6">
        <f t="shared" si="13"/>
        <v>8</v>
      </c>
      <c r="AG20" s="6">
        <f t="shared" si="14"/>
        <v>800</v>
      </c>
      <c r="AH20" s="6"/>
      <c r="AI20" s="8"/>
      <c r="AJ20" s="2"/>
      <c r="AK20" s="6"/>
      <c r="AL20" s="6">
        <f t="shared" si="15"/>
        <v>4.5</v>
      </c>
      <c r="AM20" s="6">
        <v>4</v>
      </c>
      <c r="AN20" s="6">
        <f t="shared" si="16"/>
        <v>4</v>
      </c>
      <c r="AO20" s="6">
        <f t="shared" si="17"/>
        <v>16</v>
      </c>
      <c r="AP20" s="6">
        <f t="shared" si="18"/>
        <v>1600</v>
      </c>
      <c r="AQ20" s="6"/>
      <c r="AR20" s="24" t="s">
        <v>45</v>
      </c>
      <c r="AS20" s="2"/>
      <c r="AT20" s="6"/>
      <c r="AU20" s="6">
        <f t="shared" si="19"/>
        <v>4.5</v>
      </c>
      <c r="AV20" s="6">
        <v>3</v>
      </c>
      <c r="AW20" s="6">
        <f t="shared" si="20"/>
        <v>4</v>
      </c>
      <c r="AX20" s="6">
        <f t="shared" si="21"/>
        <v>12</v>
      </c>
      <c r="AY20" s="6">
        <f t="shared" si="22"/>
        <v>1200</v>
      </c>
      <c r="AZ20" s="6"/>
      <c r="BA20" s="24" t="s">
        <v>45</v>
      </c>
      <c r="BB20" s="2"/>
      <c r="BC20" s="6"/>
      <c r="BD20" s="6">
        <f t="shared" si="23"/>
        <v>4.5</v>
      </c>
      <c r="BE20" s="6">
        <v>3</v>
      </c>
      <c r="BF20" s="6">
        <f t="shared" si="24"/>
        <v>4</v>
      </c>
      <c r="BG20" s="6">
        <f t="shared" si="25"/>
        <v>12</v>
      </c>
      <c r="BH20" s="6">
        <f t="shared" si="26"/>
        <v>1200</v>
      </c>
      <c r="BI20" s="6"/>
      <c r="BJ20" s="8">
        <v>-12</v>
      </c>
      <c r="BK20" s="2"/>
      <c r="BL20" s="6"/>
      <c r="BM20" s="6">
        <f t="shared" si="27"/>
        <v>4.5</v>
      </c>
      <c r="BN20" s="6">
        <v>4</v>
      </c>
      <c r="BO20" s="6">
        <f t="shared" si="28"/>
        <v>4</v>
      </c>
      <c r="BP20" s="6">
        <f t="shared" si="29"/>
        <v>16</v>
      </c>
      <c r="BQ20" s="6">
        <f t="shared" si="30"/>
        <v>1600</v>
      </c>
      <c r="BR20" s="6"/>
      <c r="BS20" s="8"/>
      <c r="BT20" s="2"/>
      <c r="BU20" s="25" t="s">
        <v>46</v>
      </c>
      <c r="BV20" s="13">
        <f>AVERAGE(G25,P24,Y25,AQ25,AZ25,BI25)</f>
        <v>24879.166666666668</v>
      </c>
      <c r="BW20" s="2">
        <v>-12</v>
      </c>
      <c r="BX20" s="2">
        <v>19000</v>
      </c>
      <c r="BY20" s="2">
        <v>34</v>
      </c>
      <c r="BZ20" s="2">
        <v>35</v>
      </c>
      <c r="CA20" s="2">
        <v>1.8</v>
      </c>
    </row>
    <row r="21" spans="1:79">
      <c r="A21" s="6"/>
      <c r="B21" s="6">
        <v>6</v>
      </c>
      <c r="C21" s="6">
        <v>3</v>
      </c>
      <c r="D21" s="6">
        <f t="shared" si="1"/>
        <v>4</v>
      </c>
      <c r="E21" s="6">
        <f t="shared" si="2"/>
        <v>12</v>
      </c>
      <c r="F21" s="6">
        <f t="shared" si="3"/>
        <v>1200</v>
      </c>
      <c r="G21" s="12"/>
      <c r="H21" s="23"/>
      <c r="I21" s="2"/>
      <c r="J21" s="6"/>
      <c r="K21" s="6">
        <f t="shared" si="0"/>
        <v>6</v>
      </c>
      <c r="L21" s="6">
        <v>5</v>
      </c>
      <c r="M21" s="6">
        <f t="shared" si="4"/>
        <v>4</v>
      </c>
      <c r="N21" s="6">
        <f t="shared" si="5"/>
        <v>20</v>
      </c>
      <c r="O21" s="6">
        <f t="shared" si="6"/>
        <v>2000</v>
      </c>
      <c r="P21" s="6">
        <f>AVERAGE(O17:O21)</f>
        <v>1360</v>
      </c>
      <c r="Q21" s="6"/>
      <c r="R21" s="2"/>
      <c r="S21" s="6"/>
      <c r="T21" s="6">
        <f t="shared" si="7"/>
        <v>6</v>
      </c>
      <c r="U21" s="6">
        <v>5</v>
      </c>
      <c r="V21" s="6">
        <f t="shared" si="8"/>
        <v>4</v>
      </c>
      <c r="W21" s="6">
        <f t="shared" si="9"/>
        <v>20</v>
      </c>
      <c r="X21" s="6">
        <f t="shared" si="10"/>
        <v>2000</v>
      </c>
      <c r="Y21" s="6">
        <f>AVERAGE(X20:X21)</f>
        <v>1600</v>
      </c>
      <c r="Z21" s="6"/>
      <c r="AA21" s="2"/>
      <c r="AB21" s="6"/>
      <c r="AC21" s="6">
        <f t="shared" si="11"/>
        <v>6</v>
      </c>
      <c r="AD21" s="6">
        <v>5</v>
      </c>
      <c r="AE21" s="6">
        <f t="shared" si="12"/>
        <v>4</v>
      </c>
      <c r="AF21" s="6">
        <f t="shared" si="13"/>
        <v>20</v>
      </c>
      <c r="AG21" s="6">
        <f t="shared" si="14"/>
        <v>2000</v>
      </c>
      <c r="AH21" s="6">
        <f>AVERAGE(AG20:AG21)</f>
        <v>1400</v>
      </c>
      <c r="AI21" s="6"/>
      <c r="AJ21" s="2"/>
      <c r="AK21" s="6"/>
      <c r="AL21" s="6">
        <f t="shared" si="15"/>
        <v>6</v>
      </c>
      <c r="AM21" s="6">
        <v>5</v>
      </c>
      <c r="AN21" s="6">
        <f t="shared" si="16"/>
        <v>4</v>
      </c>
      <c r="AO21" s="6">
        <f t="shared" si="17"/>
        <v>20</v>
      </c>
      <c r="AP21" s="6">
        <f t="shared" si="18"/>
        <v>2000</v>
      </c>
      <c r="AQ21" s="6">
        <f>AVERAGE(AP20:AP21)</f>
        <v>1800</v>
      </c>
      <c r="AR21" s="6"/>
      <c r="AS21" s="2"/>
      <c r="AT21" s="6"/>
      <c r="AU21" s="6">
        <f t="shared" si="19"/>
        <v>6</v>
      </c>
      <c r="AV21" s="6">
        <v>4</v>
      </c>
      <c r="AW21" s="6">
        <f t="shared" si="20"/>
        <v>4</v>
      </c>
      <c r="AX21" s="6">
        <f t="shared" si="21"/>
        <v>16</v>
      </c>
      <c r="AY21" s="6">
        <f t="shared" si="22"/>
        <v>1600</v>
      </c>
      <c r="AZ21" s="6">
        <f>AVERAGE(AY20:AY21)</f>
        <v>1400</v>
      </c>
      <c r="BA21" s="6"/>
      <c r="BB21" s="2"/>
      <c r="BC21" s="6"/>
      <c r="BD21" s="6">
        <f t="shared" si="23"/>
        <v>6</v>
      </c>
      <c r="BE21" s="6">
        <v>4</v>
      </c>
      <c r="BF21" s="6">
        <f t="shared" si="24"/>
        <v>4</v>
      </c>
      <c r="BG21" s="6">
        <f t="shared" si="25"/>
        <v>16</v>
      </c>
      <c r="BH21" s="6">
        <f t="shared" si="26"/>
        <v>1600</v>
      </c>
      <c r="BI21" s="6">
        <f>AVERAGE(BH17:BH21)</f>
        <v>1280</v>
      </c>
      <c r="BJ21" s="6"/>
      <c r="BK21" s="2"/>
      <c r="BL21" s="6"/>
      <c r="BM21" s="6">
        <f t="shared" si="27"/>
        <v>6</v>
      </c>
      <c r="BN21" s="6">
        <v>3</v>
      </c>
      <c r="BO21" s="6">
        <f t="shared" si="28"/>
        <v>4</v>
      </c>
      <c r="BP21" s="6">
        <f t="shared" si="29"/>
        <v>12</v>
      </c>
      <c r="BQ21" s="6">
        <f t="shared" si="30"/>
        <v>1200</v>
      </c>
      <c r="BR21" s="6">
        <f>AVERAGE(BQ17:BQ21)</f>
        <v>1280</v>
      </c>
      <c r="BS21" s="6"/>
      <c r="BT21" s="2"/>
      <c r="BU21" s="2"/>
      <c r="BV21" s="2"/>
      <c r="BW21" s="2"/>
      <c r="BX21" s="2"/>
      <c r="BY21" s="2"/>
      <c r="BZ21" s="2"/>
      <c r="CA21" s="2"/>
    </row>
    <row r="22" spans="1:79" ht="57.6">
      <c r="A22" s="6"/>
      <c r="B22" s="6">
        <v>7.5</v>
      </c>
      <c r="C22" s="6">
        <v>8</v>
      </c>
      <c r="D22" s="6">
        <f t="shared" si="1"/>
        <v>4</v>
      </c>
      <c r="E22" s="6">
        <f t="shared" si="2"/>
        <v>32</v>
      </c>
      <c r="F22" s="6">
        <f t="shared" si="3"/>
        <v>3200</v>
      </c>
      <c r="G22" s="26">
        <f>AVERAGE(F17:F22)</f>
        <v>1466.6666666666667</v>
      </c>
      <c r="H22" s="27"/>
      <c r="I22" s="2"/>
      <c r="J22" s="6"/>
      <c r="K22" s="6">
        <f t="shared" si="0"/>
        <v>7.5</v>
      </c>
      <c r="L22" s="6">
        <v>19</v>
      </c>
      <c r="M22" s="6">
        <f>$H$11</f>
        <v>7</v>
      </c>
      <c r="N22" s="6">
        <f t="shared" si="5"/>
        <v>133</v>
      </c>
      <c r="O22" s="6">
        <f t="shared" si="6"/>
        <v>13300</v>
      </c>
      <c r="P22" s="6"/>
      <c r="Q22" s="25" t="s">
        <v>46</v>
      </c>
      <c r="R22" s="2"/>
      <c r="S22" s="6"/>
      <c r="T22" s="6">
        <f t="shared" si="7"/>
        <v>7.5</v>
      </c>
      <c r="U22" s="6">
        <v>13</v>
      </c>
      <c r="V22" s="6">
        <f>$H$11</f>
        <v>7</v>
      </c>
      <c r="W22" s="6">
        <f t="shared" si="9"/>
        <v>91</v>
      </c>
      <c r="X22" s="6">
        <f t="shared" si="10"/>
        <v>9100</v>
      </c>
      <c r="Y22" s="6"/>
      <c r="Z22" s="25" t="s">
        <v>47</v>
      </c>
      <c r="AA22" s="2"/>
      <c r="AB22" s="6"/>
      <c r="AC22" s="6">
        <f t="shared" si="11"/>
        <v>7.5</v>
      </c>
      <c r="AD22" s="6">
        <v>12</v>
      </c>
      <c r="AE22" s="6">
        <f>$H$11</f>
        <v>7</v>
      </c>
      <c r="AF22" s="6">
        <f t="shared" si="13"/>
        <v>84</v>
      </c>
      <c r="AG22" s="6">
        <f t="shared" si="14"/>
        <v>8400</v>
      </c>
      <c r="AH22" s="6"/>
      <c r="AI22" s="28" t="s">
        <v>48</v>
      </c>
      <c r="AJ22" s="2"/>
      <c r="AK22" s="6"/>
      <c r="AL22" s="6">
        <f t="shared" si="15"/>
        <v>7.5</v>
      </c>
      <c r="AM22" s="6">
        <v>16</v>
      </c>
      <c r="AN22" s="6">
        <f>$H$11</f>
        <v>7</v>
      </c>
      <c r="AO22" s="6">
        <f t="shared" si="17"/>
        <v>112</v>
      </c>
      <c r="AP22" s="6">
        <f t="shared" si="18"/>
        <v>11200</v>
      </c>
      <c r="AQ22" s="6"/>
      <c r="AR22" s="25" t="s">
        <v>46</v>
      </c>
      <c r="AS22" s="2"/>
      <c r="AT22" s="6"/>
      <c r="AU22" s="6">
        <f t="shared" si="19"/>
        <v>7.5</v>
      </c>
      <c r="AV22" s="6">
        <v>12</v>
      </c>
      <c r="AW22" s="6">
        <f>$H$11</f>
        <v>7</v>
      </c>
      <c r="AX22" s="6">
        <f t="shared" si="21"/>
        <v>84</v>
      </c>
      <c r="AY22" s="6">
        <f t="shared" si="22"/>
        <v>8400</v>
      </c>
      <c r="AZ22" s="6"/>
      <c r="BA22" s="25" t="s">
        <v>46</v>
      </c>
      <c r="BB22" s="2"/>
      <c r="BC22" s="6"/>
      <c r="BD22" s="6">
        <f t="shared" si="23"/>
        <v>7.5</v>
      </c>
      <c r="BE22" s="6">
        <v>19</v>
      </c>
      <c r="BF22" s="6">
        <f>$H$11</f>
        <v>7</v>
      </c>
      <c r="BG22" s="6">
        <f t="shared" si="25"/>
        <v>133</v>
      </c>
      <c r="BH22" s="6">
        <f t="shared" si="26"/>
        <v>13300</v>
      </c>
      <c r="BI22" s="6"/>
      <c r="BJ22" s="25" t="s">
        <v>46</v>
      </c>
      <c r="BK22" s="2"/>
      <c r="BL22" s="6"/>
      <c r="BM22" s="6">
        <f t="shared" si="27"/>
        <v>7.5</v>
      </c>
      <c r="BN22" s="6">
        <v>14</v>
      </c>
      <c r="BO22" s="6">
        <f>$H$11</f>
        <v>7</v>
      </c>
      <c r="BP22" s="6">
        <f t="shared" si="29"/>
        <v>98</v>
      </c>
      <c r="BQ22" s="6">
        <f t="shared" si="30"/>
        <v>9800</v>
      </c>
      <c r="BR22" s="6">
        <f>BQ22</f>
        <v>9800</v>
      </c>
      <c r="BS22" s="28" t="s">
        <v>49</v>
      </c>
      <c r="BT22" s="2"/>
      <c r="BU22" s="28" t="s">
        <v>50</v>
      </c>
      <c r="BV22" s="13">
        <f>AVERAGE(G28,P29,AH26,BI27,BR22,AH24)</f>
        <v>27615.000000000004</v>
      </c>
      <c r="BW22" s="2">
        <v>-15</v>
      </c>
      <c r="BX22" s="2">
        <v>20000</v>
      </c>
      <c r="BY22" s="2">
        <v>37</v>
      </c>
      <c r="BZ22" s="2">
        <v>34</v>
      </c>
      <c r="CA22" s="2">
        <v>2</v>
      </c>
    </row>
    <row r="23" spans="1:79" ht="43.2">
      <c r="A23" s="6"/>
      <c r="B23" s="6">
        <v>9</v>
      </c>
      <c r="C23" s="6">
        <v>27</v>
      </c>
      <c r="D23" s="6">
        <f>$H$11</f>
        <v>7</v>
      </c>
      <c r="E23" s="6">
        <f>C23*D23</f>
        <v>189</v>
      </c>
      <c r="F23" s="6">
        <f>E23*100</f>
        <v>18900</v>
      </c>
      <c r="G23" s="29"/>
      <c r="H23" s="30" t="s">
        <v>51</v>
      </c>
      <c r="I23" s="2"/>
      <c r="J23" s="6"/>
      <c r="K23" s="6">
        <f t="shared" si="0"/>
        <v>9</v>
      </c>
      <c r="L23" s="6">
        <v>43</v>
      </c>
      <c r="M23" s="6">
        <f>$H$11</f>
        <v>7</v>
      </c>
      <c r="N23" s="6">
        <f t="shared" si="5"/>
        <v>301</v>
      </c>
      <c r="O23" s="6">
        <f t="shared" si="6"/>
        <v>30100</v>
      </c>
      <c r="P23" s="6"/>
      <c r="Q23" s="6"/>
      <c r="R23" s="2"/>
      <c r="S23" s="6"/>
      <c r="T23" s="6">
        <f t="shared" si="7"/>
        <v>9</v>
      </c>
      <c r="U23" s="6">
        <v>33</v>
      </c>
      <c r="V23" s="6">
        <f>$H$11</f>
        <v>7</v>
      </c>
      <c r="W23" s="6">
        <f t="shared" si="9"/>
        <v>231</v>
      </c>
      <c r="X23" s="6">
        <f t="shared" si="10"/>
        <v>23100</v>
      </c>
      <c r="Y23" s="6"/>
      <c r="Z23" s="6"/>
      <c r="AA23" s="2"/>
      <c r="AB23" s="6"/>
      <c r="AC23" s="6">
        <f t="shared" si="11"/>
        <v>9</v>
      </c>
      <c r="AD23" s="6">
        <v>17</v>
      </c>
      <c r="AE23" s="6">
        <f>$H$11</f>
        <v>7</v>
      </c>
      <c r="AF23" s="6">
        <f t="shared" si="13"/>
        <v>119</v>
      </c>
      <c r="AG23" s="6">
        <f t="shared" si="14"/>
        <v>11900</v>
      </c>
      <c r="AH23" s="6"/>
      <c r="AI23" s="6"/>
      <c r="AJ23" s="2"/>
      <c r="AK23" s="6"/>
      <c r="AL23" s="6">
        <f t="shared" si="15"/>
        <v>9</v>
      </c>
      <c r="AM23" s="6">
        <v>29</v>
      </c>
      <c r="AN23" s="6">
        <f>$H$11</f>
        <v>7</v>
      </c>
      <c r="AO23" s="6">
        <f t="shared" si="17"/>
        <v>203</v>
      </c>
      <c r="AP23" s="6">
        <f t="shared" si="18"/>
        <v>20300</v>
      </c>
      <c r="AQ23" s="6"/>
      <c r="AR23" s="6"/>
      <c r="AS23" s="2"/>
      <c r="AT23" s="6"/>
      <c r="AU23" s="6">
        <f t="shared" si="19"/>
        <v>9</v>
      </c>
      <c r="AV23" s="6">
        <v>38</v>
      </c>
      <c r="AW23" s="6">
        <f>$H$11</f>
        <v>7</v>
      </c>
      <c r="AX23" s="6">
        <f t="shared" si="21"/>
        <v>266</v>
      </c>
      <c r="AY23" s="6">
        <f t="shared" si="22"/>
        <v>26600</v>
      </c>
      <c r="AZ23" s="6"/>
      <c r="BA23" s="6"/>
      <c r="BB23" s="2"/>
      <c r="BC23" s="6"/>
      <c r="BD23" s="6">
        <f t="shared" si="23"/>
        <v>9</v>
      </c>
      <c r="BE23" s="6">
        <v>46</v>
      </c>
      <c r="BF23" s="6">
        <f>$H$11</f>
        <v>7</v>
      </c>
      <c r="BG23" s="6">
        <f t="shared" si="25"/>
        <v>322</v>
      </c>
      <c r="BH23" s="6">
        <f t="shared" si="26"/>
        <v>32200</v>
      </c>
      <c r="BI23" s="6"/>
      <c r="BJ23" s="6"/>
      <c r="BK23" s="2"/>
      <c r="BL23" s="6"/>
      <c r="BM23" s="6">
        <f t="shared" si="27"/>
        <v>9</v>
      </c>
      <c r="BN23" s="6">
        <v>39</v>
      </c>
      <c r="BO23" s="6">
        <f>$H$11</f>
        <v>7</v>
      </c>
      <c r="BP23" s="6">
        <f t="shared" si="29"/>
        <v>273</v>
      </c>
      <c r="BQ23" s="6">
        <f t="shared" si="30"/>
        <v>27300</v>
      </c>
      <c r="BR23" s="6">
        <f>BQ23</f>
        <v>27300</v>
      </c>
      <c r="BS23" s="24" t="s">
        <v>43</v>
      </c>
      <c r="BT23" s="2"/>
      <c r="BU23" s="8" t="s">
        <v>52</v>
      </c>
      <c r="BV23" s="13">
        <f>AVERAGE(G29,Y29,AH29,AQ29,AZ29,BI29,BR29)</f>
        <v>47850.000000000007</v>
      </c>
      <c r="BW23" s="2">
        <v>-18</v>
      </c>
      <c r="BX23" s="2">
        <v>30000</v>
      </c>
      <c r="BY23" s="2">
        <v>42</v>
      </c>
      <c r="BZ23" s="2">
        <v>40</v>
      </c>
      <c r="CA23" s="2">
        <v>2.2000000000000002</v>
      </c>
    </row>
    <row r="24" spans="1:79">
      <c r="A24" s="6"/>
      <c r="B24" s="6">
        <v>10.5</v>
      </c>
      <c r="C24" s="6">
        <v>70</v>
      </c>
      <c r="D24" s="6">
        <f t="shared" ref="D24:D29" si="31">$H$11</f>
        <v>7</v>
      </c>
      <c r="E24" s="6">
        <f t="shared" ref="E24:E29" si="32">C24*D24</f>
        <v>490</v>
      </c>
      <c r="F24" s="6">
        <f t="shared" si="3"/>
        <v>49000</v>
      </c>
      <c r="G24" s="31"/>
      <c r="H24" s="12"/>
      <c r="I24" s="2"/>
      <c r="J24" s="6"/>
      <c r="K24" s="6">
        <f t="shared" si="0"/>
        <v>10.5</v>
      </c>
      <c r="L24" s="6">
        <v>34</v>
      </c>
      <c r="M24" s="6">
        <f t="shared" ref="M24:M29" si="33">$H$11</f>
        <v>7</v>
      </c>
      <c r="N24" s="6">
        <f t="shared" si="5"/>
        <v>238</v>
      </c>
      <c r="O24" s="6">
        <f t="shared" si="6"/>
        <v>23800</v>
      </c>
      <c r="P24" s="6">
        <f>AVERAGE(O22:O24)</f>
        <v>22400</v>
      </c>
      <c r="Q24" s="6"/>
      <c r="R24" s="2"/>
      <c r="S24" s="6"/>
      <c r="T24" s="6">
        <f t="shared" si="7"/>
        <v>10.5</v>
      </c>
      <c r="U24" s="6">
        <v>33</v>
      </c>
      <c r="V24" s="6">
        <f t="shared" ref="V24:V29" si="34">$H$11</f>
        <v>7</v>
      </c>
      <c r="W24" s="6">
        <f t="shared" si="9"/>
        <v>231</v>
      </c>
      <c r="X24" s="6">
        <f t="shared" si="10"/>
        <v>23100</v>
      </c>
      <c r="Y24" s="6"/>
      <c r="Z24" s="6"/>
      <c r="AA24" s="2"/>
      <c r="AB24" s="6"/>
      <c r="AC24" s="6">
        <f t="shared" si="11"/>
        <v>10.5</v>
      </c>
      <c r="AD24" s="6">
        <v>35</v>
      </c>
      <c r="AE24" s="6">
        <f t="shared" ref="AE24:AE29" si="35">$H$11</f>
        <v>7</v>
      </c>
      <c r="AF24" s="6">
        <f t="shared" si="13"/>
        <v>245</v>
      </c>
      <c r="AG24" s="6">
        <f t="shared" si="14"/>
        <v>24500</v>
      </c>
      <c r="AH24" s="7">
        <f>AVERAGE(AG22:AG24)</f>
        <v>14933.333333333334</v>
      </c>
      <c r="AI24" s="6"/>
      <c r="AJ24" s="2"/>
      <c r="AK24" s="6"/>
      <c r="AL24" s="6">
        <f t="shared" si="15"/>
        <v>10.5</v>
      </c>
      <c r="AM24" s="6">
        <v>32</v>
      </c>
      <c r="AN24" s="6">
        <f t="shared" ref="AN24:AN29" si="36">$H$11</f>
        <v>7</v>
      </c>
      <c r="AO24" s="6">
        <f t="shared" si="17"/>
        <v>224</v>
      </c>
      <c r="AP24" s="6">
        <f t="shared" si="18"/>
        <v>22400</v>
      </c>
      <c r="AQ24" s="7"/>
      <c r="AR24" s="6"/>
      <c r="AS24" s="2"/>
      <c r="AT24" s="6"/>
      <c r="AU24" s="6">
        <f t="shared" si="19"/>
        <v>10.5</v>
      </c>
      <c r="AV24" s="6">
        <v>32</v>
      </c>
      <c r="AW24" s="6">
        <f t="shared" ref="AW24:AW29" si="37">$H$11</f>
        <v>7</v>
      </c>
      <c r="AX24" s="6">
        <f t="shared" si="21"/>
        <v>224</v>
      </c>
      <c r="AY24" s="6">
        <f t="shared" si="22"/>
        <v>22400</v>
      </c>
      <c r="AZ24" s="7"/>
      <c r="BA24" s="6"/>
      <c r="BB24" s="2"/>
      <c r="BC24" s="6"/>
      <c r="BD24" s="6">
        <f t="shared" si="23"/>
        <v>10.5</v>
      </c>
      <c r="BE24" s="6">
        <v>33</v>
      </c>
      <c r="BF24" s="6">
        <f t="shared" ref="BF24:BF29" si="38">$H$11</f>
        <v>7</v>
      </c>
      <c r="BG24" s="6">
        <f t="shared" si="25"/>
        <v>231</v>
      </c>
      <c r="BH24" s="6">
        <f t="shared" si="26"/>
        <v>23100</v>
      </c>
      <c r="BI24" s="7"/>
      <c r="BJ24" s="6"/>
      <c r="BK24" s="2"/>
      <c r="BL24" s="6"/>
      <c r="BM24" s="6">
        <f t="shared" si="27"/>
        <v>10.5</v>
      </c>
      <c r="BN24" s="6">
        <v>64</v>
      </c>
      <c r="BO24" s="6">
        <f t="shared" ref="BO24:BO29" si="39">$H$11</f>
        <v>7</v>
      </c>
      <c r="BP24" s="6">
        <f t="shared" si="29"/>
        <v>448</v>
      </c>
      <c r="BQ24" s="6">
        <f t="shared" si="30"/>
        <v>44800</v>
      </c>
      <c r="BR24" s="7"/>
      <c r="BS24" s="6"/>
      <c r="BT24" s="2"/>
      <c r="BU24" s="2"/>
      <c r="BV24" s="2"/>
      <c r="BW24" s="2"/>
      <c r="BX24" s="2"/>
      <c r="BY24" s="2"/>
      <c r="BZ24" s="2"/>
      <c r="CA24" s="2"/>
    </row>
    <row r="25" spans="1:79" ht="28.8">
      <c r="A25" s="6"/>
      <c r="B25" s="6">
        <v>12</v>
      </c>
      <c r="C25" s="6">
        <v>77</v>
      </c>
      <c r="D25" s="6">
        <f t="shared" si="31"/>
        <v>7</v>
      </c>
      <c r="E25" s="6">
        <f t="shared" si="32"/>
        <v>539</v>
      </c>
      <c r="F25" s="6">
        <f t="shared" si="3"/>
        <v>53900</v>
      </c>
      <c r="G25" s="26">
        <f>AVERAGE(F23:F25)</f>
        <v>40600</v>
      </c>
      <c r="H25" s="5"/>
      <c r="I25" s="2"/>
      <c r="J25" s="6"/>
      <c r="K25" s="6">
        <f t="shared" si="0"/>
        <v>12</v>
      </c>
      <c r="L25" s="6">
        <v>41</v>
      </c>
      <c r="M25" s="6">
        <f t="shared" si="33"/>
        <v>7</v>
      </c>
      <c r="N25" s="6">
        <f t="shared" si="5"/>
        <v>287</v>
      </c>
      <c r="O25" s="6">
        <f t="shared" si="6"/>
        <v>28700</v>
      </c>
      <c r="P25" s="6"/>
      <c r="Q25" s="28" t="s">
        <v>50</v>
      </c>
      <c r="R25" s="2"/>
      <c r="S25" s="6"/>
      <c r="T25" s="6">
        <f t="shared" si="7"/>
        <v>12</v>
      </c>
      <c r="U25" s="6">
        <v>39</v>
      </c>
      <c r="V25" s="6">
        <f t="shared" si="34"/>
        <v>7</v>
      </c>
      <c r="W25" s="6">
        <f t="shared" si="9"/>
        <v>273</v>
      </c>
      <c r="X25" s="6">
        <f t="shared" si="10"/>
        <v>27300</v>
      </c>
      <c r="Y25" s="6">
        <f>AVERAGE(X22:X25)</f>
        <v>20650</v>
      </c>
      <c r="Z25" s="8"/>
      <c r="AA25" s="2"/>
      <c r="AB25" s="6"/>
      <c r="AC25" s="6">
        <f t="shared" si="11"/>
        <v>12</v>
      </c>
      <c r="AD25" s="6">
        <v>36</v>
      </c>
      <c r="AE25" s="6">
        <f t="shared" si="35"/>
        <v>7</v>
      </c>
      <c r="AF25" s="6">
        <f t="shared" si="13"/>
        <v>252</v>
      </c>
      <c r="AG25" s="6">
        <f t="shared" si="14"/>
        <v>25200</v>
      </c>
      <c r="AH25" s="6"/>
      <c r="AI25" s="28" t="s">
        <v>53</v>
      </c>
      <c r="AJ25" s="2"/>
      <c r="AK25" s="6"/>
      <c r="AL25" s="6">
        <f t="shared" si="15"/>
        <v>12</v>
      </c>
      <c r="AM25" s="6">
        <v>31</v>
      </c>
      <c r="AN25" s="6">
        <f t="shared" si="36"/>
        <v>7</v>
      </c>
      <c r="AO25" s="6">
        <f t="shared" si="17"/>
        <v>217</v>
      </c>
      <c r="AP25" s="6">
        <f t="shared" si="18"/>
        <v>21700</v>
      </c>
      <c r="AQ25" s="6">
        <f>AVERAGE(AP22:AP25)</f>
        <v>18900</v>
      </c>
      <c r="AR25" s="8"/>
      <c r="AS25" s="2"/>
      <c r="AT25" s="6"/>
      <c r="AU25" s="6">
        <f t="shared" si="19"/>
        <v>12</v>
      </c>
      <c r="AV25" s="6">
        <v>42</v>
      </c>
      <c r="AW25" s="6">
        <f t="shared" si="37"/>
        <v>7</v>
      </c>
      <c r="AX25" s="6">
        <f t="shared" si="21"/>
        <v>294</v>
      </c>
      <c r="AY25" s="6">
        <f t="shared" si="22"/>
        <v>29400</v>
      </c>
      <c r="AZ25" s="6">
        <f>AVERAGE(AY22:AY25)</f>
        <v>21700</v>
      </c>
      <c r="BA25" s="8"/>
      <c r="BB25" s="2"/>
      <c r="BC25" s="6"/>
      <c r="BD25" s="6">
        <f t="shared" si="23"/>
        <v>12</v>
      </c>
      <c r="BE25" s="6">
        <v>45</v>
      </c>
      <c r="BF25" s="6">
        <f t="shared" si="38"/>
        <v>7</v>
      </c>
      <c r="BG25" s="6">
        <f t="shared" si="25"/>
        <v>315</v>
      </c>
      <c r="BH25" s="6">
        <f t="shared" si="26"/>
        <v>31500</v>
      </c>
      <c r="BI25" s="6">
        <f>AVERAGE(BH22:BH25)</f>
        <v>25025</v>
      </c>
      <c r="BJ25" s="8"/>
      <c r="BK25" s="2"/>
      <c r="BL25" s="6"/>
      <c r="BM25" s="6">
        <f t="shared" si="27"/>
        <v>12</v>
      </c>
      <c r="BN25" s="6">
        <v>42</v>
      </c>
      <c r="BO25" s="6">
        <f t="shared" si="39"/>
        <v>7</v>
      </c>
      <c r="BP25" s="6">
        <f t="shared" si="29"/>
        <v>294</v>
      </c>
      <c r="BQ25" s="6">
        <f t="shared" si="30"/>
        <v>29400</v>
      </c>
      <c r="BR25" s="6"/>
      <c r="BS25" s="8"/>
      <c r="BT25" s="2"/>
      <c r="BU25" s="2"/>
      <c r="BV25" s="2"/>
      <c r="BW25" s="2"/>
      <c r="BX25" s="2"/>
      <c r="BY25" s="2"/>
      <c r="BZ25" s="2"/>
      <c r="CA25" s="2"/>
    </row>
    <row r="26" spans="1:79" ht="28.8">
      <c r="A26" s="6"/>
      <c r="B26" s="6">
        <v>13.5</v>
      </c>
      <c r="C26" s="6">
        <v>38</v>
      </c>
      <c r="D26" s="6">
        <f t="shared" si="31"/>
        <v>7</v>
      </c>
      <c r="E26" s="6">
        <f t="shared" si="32"/>
        <v>266</v>
      </c>
      <c r="F26" s="6">
        <f>E26*100</f>
        <v>26600</v>
      </c>
      <c r="G26" s="29"/>
      <c r="H26" s="32" t="s">
        <v>50</v>
      </c>
      <c r="I26" s="2"/>
      <c r="J26" s="6"/>
      <c r="K26" s="6">
        <f t="shared" si="0"/>
        <v>13.5</v>
      </c>
      <c r="L26" s="6">
        <v>48</v>
      </c>
      <c r="M26" s="6">
        <f t="shared" si="33"/>
        <v>7</v>
      </c>
      <c r="N26" s="6">
        <f t="shared" si="5"/>
        <v>336</v>
      </c>
      <c r="O26" s="6">
        <f t="shared" si="6"/>
        <v>33600</v>
      </c>
      <c r="P26" s="6"/>
      <c r="Q26" s="6"/>
      <c r="R26" s="2"/>
      <c r="S26" s="6"/>
      <c r="T26" s="6">
        <f>K26</f>
        <v>13.5</v>
      </c>
      <c r="U26" s="6">
        <v>59</v>
      </c>
      <c r="V26" s="6">
        <f t="shared" si="34"/>
        <v>7</v>
      </c>
      <c r="W26" s="6">
        <f t="shared" si="9"/>
        <v>413</v>
      </c>
      <c r="X26" s="6">
        <f t="shared" si="10"/>
        <v>41300</v>
      </c>
      <c r="Y26" s="6"/>
      <c r="Z26" s="8" t="s">
        <v>52</v>
      </c>
      <c r="AA26" s="2"/>
      <c r="AB26" s="6"/>
      <c r="AC26" s="6">
        <f>T26</f>
        <v>13.5</v>
      </c>
      <c r="AD26" s="6">
        <v>35</v>
      </c>
      <c r="AE26" s="6">
        <f t="shared" si="35"/>
        <v>7</v>
      </c>
      <c r="AF26" s="6">
        <f t="shared" si="13"/>
        <v>245</v>
      </c>
      <c r="AG26" s="6">
        <f t="shared" si="14"/>
        <v>24500</v>
      </c>
      <c r="AH26" s="6">
        <f>AVERAGE(AG25:AG26)</f>
        <v>24850</v>
      </c>
      <c r="AI26" s="8"/>
      <c r="AJ26" s="2"/>
      <c r="AK26" s="6"/>
      <c r="AL26" s="6">
        <f>AC26</f>
        <v>13.5</v>
      </c>
      <c r="AM26" s="6">
        <v>63</v>
      </c>
      <c r="AN26" s="6">
        <f t="shared" si="36"/>
        <v>7</v>
      </c>
      <c r="AO26" s="6">
        <f t="shared" si="17"/>
        <v>441</v>
      </c>
      <c r="AP26" s="6">
        <f t="shared" si="18"/>
        <v>44100</v>
      </c>
      <c r="AQ26" s="6"/>
      <c r="AR26" s="8" t="s">
        <v>52</v>
      </c>
      <c r="AS26" s="2"/>
      <c r="AT26" s="6"/>
      <c r="AU26" s="6">
        <f>AL26</f>
        <v>13.5</v>
      </c>
      <c r="AV26" s="6">
        <v>32</v>
      </c>
      <c r="AW26" s="6">
        <f t="shared" si="37"/>
        <v>7</v>
      </c>
      <c r="AX26" s="6">
        <f t="shared" si="21"/>
        <v>224</v>
      </c>
      <c r="AY26" s="6">
        <f t="shared" si="22"/>
        <v>22400</v>
      </c>
      <c r="AZ26" s="6"/>
      <c r="BA26" s="8" t="s">
        <v>52</v>
      </c>
      <c r="BB26" s="2"/>
      <c r="BC26" s="6"/>
      <c r="BD26" s="6">
        <f>AU26</f>
        <v>13.5</v>
      </c>
      <c r="BE26" s="6">
        <v>48</v>
      </c>
      <c r="BF26" s="6">
        <f t="shared" si="38"/>
        <v>7</v>
      </c>
      <c r="BG26" s="6">
        <f t="shared" si="25"/>
        <v>336</v>
      </c>
      <c r="BH26" s="6">
        <f t="shared" si="26"/>
        <v>33600</v>
      </c>
      <c r="BI26" s="6"/>
      <c r="BJ26" s="28" t="s">
        <v>49</v>
      </c>
      <c r="BK26" s="2"/>
      <c r="BL26" s="6"/>
      <c r="BM26" s="6">
        <f>BD26</f>
        <v>13.5</v>
      </c>
      <c r="BN26" s="6">
        <v>30</v>
      </c>
      <c r="BO26" s="6">
        <f t="shared" si="39"/>
        <v>7</v>
      </c>
      <c r="BP26" s="6">
        <f t="shared" si="29"/>
        <v>210</v>
      </c>
      <c r="BQ26" s="6">
        <f t="shared" si="30"/>
        <v>21000</v>
      </c>
      <c r="BR26" s="6"/>
      <c r="BS26" s="8"/>
      <c r="BT26" s="2"/>
      <c r="BU26" s="2"/>
      <c r="BV26" s="2"/>
      <c r="BW26" s="2"/>
      <c r="BX26" s="2"/>
      <c r="BY26" s="2"/>
      <c r="BZ26" s="2"/>
      <c r="CA26" s="2"/>
    </row>
    <row r="27" spans="1:79" ht="28.8">
      <c r="A27" s="6"/>
      <c r="B27" s="6">
        <v>15</v>
      </c>
      <c r="C27" s="6">
        <v>31</v>
      </c>
      <c r="D27" s="6">
        <f t="shared" si="31"/>
        <v>7</v>
      </c>
      <c r="E27" s="6">
        <f t="shared" si="32"/>
        <v>217</v>
      </c>
      <c r="F27" s="6">
        <f t="shared" si="3"/>
        <v>21700</v>
      </c>
      <c r="G27" s="31"/>
      <c r="H27" s="12"/>
      <c r="I27" s="2"/>
      <c r="J27" s="6"/>
      <c r="K27" s="6">
        <f t="shared" si="0"/>
        <v>15</v>
      </c>
      <c r="L27" s="6">
        <v>80</v>
      </c>
      <c r="M27" s="6">
        <f t="shared" si="33"/>
        <v>7</v>
      </c>
      <c r="N27" s="6">
        <f t="shared" si="5"/>
        <v>560</v>
      </c>
      <c r="O27" s="6">
        <f t="shared" si="6"/>
        <v>56000</v>
      </c>
      <c r="P27" s="6"/>
      <c r="Q27" s="6"/>
      <c r="R27" s="2"/>
      <c r="S27" s="6"/>
      <c r="T27" s="6">
        <f t="shared" si="7"/>
        <v>15</v>
      </c>
      <c r="U27" s="6">
        <v>86</v>
      </c>
      <c r="V27" s="6">
        <f t="shared" si="34"/>
        <v>7</v>
      </c>
      <c r="W27" s="6">
        <f t="shared" si="9"/>
        <v>602</v>
      </c>
      <c r="X27" s="6">
        <f t="shared" si="10"/>
        <v>60200</v>
      </c>
      <c r="Y27" s="6"/>
      <c r="Z27" s="6"/>
      <c r="AA27" s="2"/>
      <c r="AB27" s="6"/>
      <c r="AC27" s="6">
        <f t="shared" ref="AC27:AC29" si="40">T27</f>
        <v>15</v>
      </c>
      <c r="AD27" s="6">
        <v>100</v>
      </c>
      <c r="AE27" s="6">
        <f t="shared" si="35"/>
        <v>7</v>
      </c>
      <c r="AF27" s="6">
        <f t="shared" si="13"/>
        <v>700</v>
      </c>
      <c r="AG27" s="6">
        <f t="shared" si="14"/>
        <v>70000</v>
      </c>
      <c r="AH27" s="6"/>
      <c r="AI27" s="8" t="s">
        <v>52</v>
      </c>
      <c r="AJ27" s="2"/>
      <c r="AK27" s="6"/>
      <c r="AL27" s="6">
        <f t="shared" ref="AL27:AL29" si="41">AC27</f>
        <v>15</v>
      </c>
      <c r="AM27" s="6">
        <v>100</v>
      </c>
      <c r="AN27" s="6">
        <f t="shared" si="36"/>
        <v>7</v>
      </c>
      <c r="AO27" s="6">
        <f t="shared" si="17"/>
        <v>700</v>
      </c>
      <c r="AP27" s="6">
        <f t="shared" si="18"/>
        <v>70000</v>
      </c>
      <c r="AQ27" s="6"/>
      <c r="AR27" s="8"/>
      <c r="AS27" s="2"/>
      <c r="AT27" s="6"/>
      <c r="AU27" s="6">
        <f t="shared" ref="AU27:AU29" si="42">AL27</f>
        <v>15</v>
      </c>
      <c r="AV27" s="6">
        <v>70</v>
      </c>
      <c r="AW27" s="6">
        <f t="shared" si="37"/>
        <v>7</v>
      </c>
      <c r="AX27" s="6">
        <f t="shared" si="21"/>
        <v>490</v>
      </c>
      <c r="AY27" s="6">
        <f t="shared" si="22"/>
        <v>49000</v>
      </c>
      <c r="AZ27" s="6"/>
      <c r="BA27" s="8"/>
      <c r="BB27" s="2"/>
      <c r="BC27" s="6"/>
      <c r="BD27" s="6">
        <f t="shared" ref="BD27:BD29" si="43">AU27</f>
        <v>15</v>
      </c>
      <c r="BE27" s="6">
        <v>72</v>
      </c>
      <c r="BF27" s="6">
        <f t="shared" si="38"/>
        <v>7</v>
      </c>
      <c r="BG27" s="6">
        <f t="shared" si="25"/>
        <v>504</v>
      </c>
      <c r="BH27" s="6">
        <f t="shared" si="26"/>
        <v>50400</v>
      </c>
      <c r="BI27" s="6">
        <f>AVERAGE(BH26:BH27)</f>
        <v>42000</v>
      </c>
      <c r="BJ27" s="8"/>
      <c r="BK27" s="2"/>
      <c r="BL27" s="6"/>
      <c r="BM27" s="6">
        <f t="shared" ref="BM27:BM29" si="44">BD27</f>
        <v>15</v>
      </c>
      <c r="BN27" s="6">
        <v>39</v>
      </c>
      <c r="BO27" s="6">
        <f t="shared" si="39"/>
        <v>7</v>
      </c>
      <c r="BP27" s="6">
        <f t="shared" si="29"/>
        <v>273</v>
      </c>
      <c r="BQ27" s="6">
        <f t="shared" si="30"/>
        <v>27300</v>
      </c>
      <c r="BR27" s="6"/>
      <c r="BS27" s="8"/>
      <c r="BT27" s="2"/>
      <c r="BU27" s="2"/>
      <c r="BV27" s="2"/>
      <c r="BW27" s="2"/>
      <c r="BX27" s="2"/>
      <c r="BY27" s="2"/>
      <c r="BZ27" s="2"/>
      <c r="CA27" s="2"/>
    </row>
    <row r="28" spans="1:79" ht="57.6">
      <c r="A28" s="6"/>
      <c r="B28" s="6">
        <v>16.5</v>
      </c>
      <c r="C28" s="6">
        <v>35</v>
      </c>
      <c r="D28" s="6">
        <f t="shared" si="31"/>
        <v>7</v>
      </c>
      <c r="E28" s="6">
        <f t="shared" si="32"/>
        <v>245</v>
      </c>
      <c r="F28" s="6">
        <f t="shared" si="3"/>
        <v>24500</v>
      </c>
      <c r="G28" s="26">
        <f>AVERAGE(F26:F28)</f>
        <v>24266.666666666668</v>
      </c>
      <c r="H28" s="5"/>
      <c r="I28" s="2"/>
      <c r="J28" s="6"/>
      <c r="K28" s="6">
        <f t="shared" si="0"/>
        <v>16.5</v>
      </c>
      <c r="L28" s="6">
        <v>87</v>
      </c>
      <c r="M28" s="6">
        <f t="shared" si="33"/>
        <v>7</v>
      </c>
      <c r="N28" s="6">
        <f t="shared" si="5"/>
        <v>609</v>
      </c>
      <c r="O28" s="6">
        <f t="shared" si="6"/>
        <v>60900</v>
      </c>
      <c r="P28" s="6"/>
      <c r="Q28" s="6"/>
      <c r="R28" s="2"/>
      <c r="S28" s="6"/>
      <c r="T28" s="6">
        <f t="shared" si="7"/>
        <v>16.5</v>
      </c>
      <c r="U28" s="6">
        <v>77</v>
      </c>
      <c r="V28" s="6">
        <f t="shared" si="34"/>
        <v>7</v>
      </c>
      <c r="W28" s="6">
        <f t="shared" si="9"/>
        <v>539</v>
      </c>
      <c r="X28" s="6">
        <f t="shared" si="10"/>
        <v>53900</v>
      </c>
      <c r="Y28" s="6"/>
      <c r="Z28" s="6"/>
      <c r="AA28" s="2"/>
      <c r="AB28" s="6"/>
      <c r="AC28" s="6">
        <f t="shared" si="40"/>
        <v>16.5</v>
      </c>
      <c r="AD28" s="6">
        <v>50</v>
      </c>
      <c r="AE28" s="6">
        <f t="shared" si="35"/>
        <v>7</v>
      </c>
      <c r="AF28" s="6">
        <f t="shared" si="13"/>
        <v>350</v>
      </c>
      <c r="AG28" s="6">
        <f t="shared" si="14"/>
        <v>35000</v>
      </c>
      <c r="AH28" s="6"/>
      <c r="AI28" s="6"/>
      <c r="AJ28" s="2"/>
      <c r="AK28" s="6"/>
      <c r="AL28" s="6">
        <f t="shared" si="41"/>
        <v>16.5</v>
      </c>
      <c r="AM28" s="6">
        <v>71</v>
      </c>
      <c r="AN28" s="6">
        <f t="shared" si="36"/>
        <v>7</v>
      </c>
      <c r="AO28" s="6">
        <f t="shared" si="17"/>
        <v>497</v>
      </c>
      <c r="AP28" s="6">
        <f t="shared" si="18"/>
        <v>49700</v>
      </c>
      <c r="AQ28" s="6"/>
      <c r="AR28" s="6"/>
      <c r="AS28" s="2"/>
      <c r="AT28" s="6"/>
      <c r="AU28" s="6">
        <f t="shared" si="42"/>
        <v>16.5</v>
      </c>
      <c r="AV28" s="6">
        <v>69</v>
      </c>
      <c r="AW28" s="6">
        <f t="shared" si="37"/>
        <v>7</v>
      </c>
      <c r="AX28" s="6">
        <f t="shared" si="21"/>
        <v>483</v>
      </c>
      <c r="AY28" s="6">
        <f t="shared" si="22"/>
        <v>48300</v>
      </c>
      <c r="AZ28" s="6"/>
      <c r="BA28" s="6"/>
      <c r="BB28" s="2"/>
      <c r="BC28" s="6"/>
      <c r="BD28" s="6">
        <f t="shared" si="43"/>
        <v>16.5</v>
      </c>
      <c r="BE28" s="6">
        <v>100</v>
      </c>
      <c r="BF28" s="6">
        <f t="shared" si="38"/>
        <v>7</v>
      </c>
      <c r="BG28" s="6">
        <f t="shared" si="25"/>
        <v>700</v>
      </c>
      <c r="BH28" s="6">
        <f t="shared" si="26"/>
        <v>70000</v>
      </c>
      <c r="BI28" s="6"/>
      <c r="BJ28" s="8" t="s">
        <v>54</v>
      </c>
      <c r="BK28" s="2"/>
      <c r="BL28" s="6"/>
      <c r="BM28" s="6">
        <f t="shared" si="44"/>
        <v>16.5</v>
      </c>
      <c r="BN28" s="6">
        <v>52</v>
      </c>
      <c r="BO28" s="6">
        <f t="shared" si="39"/>
        <v>7</v>
      </c>
      <c r="BP28" s="6">
        <f t="shared" si="29"/>
        <v>364</v>
      </c>
      <c r="BQ28" s="6">
        <f t="shared" si="30"/>
        <v>36400</v>
      </c>
      <c r="BR28" s="7"/>
      <c r="BS28" s="8"/>
      <c r="BT28" s="2"/>
      <c r="BU28" s="2"/>
      <c r="BV28" s="2"/>
      <c r="BW28" s="2"/>
      <c r="BX28" s="2"/>
      <c r="BY28" s="2"/>
      <c r="BZ28" s="2"/>
      <c r="CA28" s="2"/>
    </row>
    <row r="29" spans="1:79" ht="57.6">
      <c r="A29" s="6"/>
      <c r="B29" s="6">
        <v>18</v>
      </c>
      <c r="C29" s="6">
        <v>44</v>
      </c>
      <c r="D29" s="6">
        <f t="shared" si="31"/>
        <v>7</v>
      </c>
      <c r="E29" s="6">
        <f t="shared" si="32"/>
        <v>308</v>
      </c>
      <c r="F29" s="6">
        <f>E29*100</f>
        <v>30800</v>
      </c>
      <c r="G29" s="6">
        <f>F29</f>
        <v>30800</v>
      </c>
      <c r="H29" s="8" t="s">
        <v>55</v>
      </c>
      <c r="I29" s="2"/>
      <c r="J29" s="6"/>
      <c r="K29" s="6">
        <f t="shared" si="0"/>
        <v>18</v>
      </c>
      <c r="L29" s="6">
        <v>100</v>
      </c>
      <c r="M29" s="6">
        <f t="shared" si="33"/>
        <v>7</v>
      </c>
      <c r="N29" s="6">
        <f t="shared" si="5"/>
        <v>700</v>
      </c>
      <c r="O29" s="6">
        <f t="shared" si="6"/>
        <v>70000</v>
      </c>
      <c r="P29" s="6">
        <f>AVERAGE(O25:O29)</f>
        <v>49840</v>
      </c>
      <c r="Q29" s="6"/>
      <c r="R29" s="2"/>
      <c r="S29" s="6"/>
      <c r="T29" s="6">
        <f t="shared" si="7"/>
        <v>18</v>
      </c>
      <c r="U29" s="6">
        <v>65</v>
      </c>
      <c r="V29" s="6">
        <f t="shared" si="34"/>
        <v>7</v>
      </c>
      <c r="W29" s="6">
        <f t="shared" si="9"/>
        <v>455</v>
      </c>
      <c r="X29" s="6">
        <f t="shared" si="10"/>
        <v>45500</v>
      </c>
      <c r="Y29" s="6">
        <f>AVERAGE(X26:X29)</f>
        <v>50225</v>
      </c>
      <c r="Z29" s="6"/>
      <c r="AA29" s="2"/>
      <c r="AB29" s="6"/>
      <c r="AC29" s="6">
        <f t="shared" si="40"/>
        <v>18</v>
      </c>
      <c r="AD29" s="6">
        <v>70</v>
      </c>
      <c r="AE29" s="6">
        <f t="shared" si="35"/>
        <v>7</v>
      </c>
      <c r="AF29" s="6">
        <f t="shared" si="13"/>
        <v>490</v>
      </c>
      <c r="AG29" s="6">
        <f t="shared" si="14"/>
        <v>49000</v>
      </c>
      <c r="AH29" s="7">
        <f>AVERAGE(AG27:AG29)</f>
        <v>51333.333333333336</v>
      </c>
      <c r="AI29" s="6"/>
      <c r="AJ29" s="2"/>
      <c r="AK29" s="6"/>
      <c r="AL29" s="6">
        <f t="shared" si="41"/>
        <v>18</v>
      </c>
      <c r="AM29" s="6">
        <v>100</v>
      </c>
      <c r="AN29" s="6">
        <f t="shared" si="36"/>
        <v>7</v>
      </c>
      <c r="AO29" s="6">
        <f t="shared" si="17"/>
        <v>700</v>
      </c>
      <c r="AP29" s="6">
        <f t="shared" si="18"/>
        <v>70000</v>
      </c>
      <c r="AQ29" s="7">
        <f>AVERAGE(AP26:AP29)</f>
        <v>58450</v>
      </c>
      <c r="AR29" s="6"/>
      <c r="AS29" s="2"/>
      <c r="AT29" s="6"/>
      <c r="AU29" s="6">
        <f t="shared" si="42"/>
        <v>18</v>
      </c>
      <c r="AV29" s="6">
        <v>78</v>
      </c>
      <c r="AW29" s="6">
        <f t="shared" si="37"/>
        <v>7</v>
      </c>
      <c r="AX29" s="6">
        <f t="shared" si="21"/>
        <v>546</v>
      </c>
      <c r="AY29" s="6">
        <f t="shared" si="22"/>
        <v>54600</v>
      </c>
      <c r="AZ29" s="7">
        <f>AVERAGE(AY26:AY29)</f>
        <v>43575</v>
      </c>
      <c r="BA29" s="6"/>
      <c r="BB29" s="2"/>
      <c r="BC29" s="6"/>
      <c r="BD29" s="6">
        <f t="shared" si="43"/>
        <v>18</v>
      </c>
      <c r="BE29" s="6">
        <v>90</v>
      </c>
      <c r="BF29" s="6">
        <f t="shared" si="38"/>
        <v>7</v>
      </c>
      <c r="BG29" s="6">
        <f t="shared" si="25"/>
        <v>630</v>
      </c>
      <c r="BH29" s="6">
        <f t="shared" si="26"/>
        <v>63000</v>
      </c>
      <c r="BI29" s="7">
        <f>AVERAGE(BH28:BH29)</f>
        <v>66500</v>
      </c>
      <c r="BJ29" s="6"/>
      <c r="BK29" s="2"/>
      <c r="BL29" s="6"/>
      <c r="BM29" s="6">
        <f t="shared" si="44"/>
        <v>18</v>
      </c>
      <c r="BN29" s="6">
        <v>65</v>
      </c>
      <c r="BO29" s="6">
        <f t="shared" si="39"/>
        <v>7</v>
      </c>
      <c r="BP29" s="6">
        <f t="shared" si="29"/>
        <v>455</v>
      </c>
      <c r="BQ29" s="6">
        <f t="shared" si="30"/>
        <v>45500</v>
      </c>
      <c r="BR29" s="7">
        <f>AVERAGE(BQ24:BQ29)</f>
        <v>34066.666666666664</v>
      </c>
      <c r="BS29" s="8" t="s">
        <v>54</v>
      </c>
      <c r="BT29" s="2"/>
      <c r="BU29" s="2"/>
      <c r="BV29" s="2"/>
      <c r="BW29" s="2"/>
      <c r="BX29" s="2"/>
      <c r="BY29" s="2"/>
      <c r="BZ29" s="2"/>
      <c r="CA29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11E-69BF-4546-AC1A-6B7082DE9BEE}">
  <dimension ref="A1:P14"/>
  <sheetViews>
    <sheetView workbookViewId="0">
      <selection activeCell="G9" sqref="G9"/>
    </sheetView>
  </sheetViews>
  <sheetFormatPr defaultRowHeight="14.4"/>
  <cols>
    <col min="1" max="1" width="22" customWidth="1"/>
    <col min="2" max="3" width="9"/>
    <col min="5" max="5" width="9" customWidth="1"/>
    <col min="6" max="6" width="8.20703125" customWidth="1"/>
    <col min="7" max="7" width="8.41796875" customWidth="1"/>
    <col min="8" max="8" width="9"/>
    <col min="9" max="9" width="10.20703125" customWidth="1"/>
    <col min="10" max="10" width="9" customWidth="1"/>
    <col min="11" max="11" width="8" customWidth="1"/>
    <col min="12" max="12" width="8.41796875" customWidth="1"/>
    <col min="13" max="13" width="9"/>
    <col min="14" max="14" width="10.20703125" customWidth="1"/>
  </cols>
  <sheetData>
    <row r="1" spans="1:16">
      <c r="A1">
        <v>6</v>
      </c>
    </row>
    <row r="4" spans="1:16">
      <c r="A4" s="1" t="s">
        <v>56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16.2">
      <c r="A5" s="33"/>
      <c r="B5" s="1"/>
      <c r="C5" s="1"/>
      <c r="D5" s="1"/>
      <c r="E5" s="1"/>
      <c r="F5" s="1"/>
      <c r="G5" s="1"/>
      <c r="H5" s="34"/>
      <c r="I5" s="35"/>
      <c r="J5" s="17" t="s">
        <v>57</v>
      </c>
      <c r="K5" s="35"/>
      <c r="L5" s="36"/>
      <c r="M5" s="8" t="s">
        <v>58</v>
      </c>
      <c r="N5" s="34" t="s">
        <v>59</v>
      </c>
      <c r="O5" s="36"/>
      <c r="P5" s="1"/>
    </row>
    <row r="6" spans="1:16" ht="72">
      <c r="A6" s="37"/>
      <c r="B6" s="37" t="s">
        <v>60</v>
      </c>
      <c r="C6" s="37" t="s">
        <v>60</v>
      </c>
      <c r="D6" s="37" t="s">
        <v>61</v>
      </c>
      <c r="E6" s="37" t="s">
        <v>62</v>
      </c>
      <c r="F6" s="37" t="s">
        <v>63</v>
      </c>
      <c r="G6" s="37" t="s">
        <v>64</v>
      </c>
      <c r="H6" s="19" t="s">
        <v>65</v>
      </c>
      <c r="I6" s="19" t="s">
        <v>66</v>
      </c>
      <c r="J6" s="19" t="s">
        <v>67</v>
      </c>
      <c r="K6" s="19" t="s">
        <v>68</v>
      </c>
      <c r="L6" s="19" t="s">
        <v>69</v>
      </c>
      <c r="M6" s="19" t="s">
        <v>70</v>
      </c>
      <c r="N6" s="19" t="s">
        <v>71</v>
      </c>
      <c r="O6" s="19" t="s">
        <v>72</v>
      </c>
      <c r="P6" s="1"/>
    </row>
    <row r="7" spans="1:16">
      <c r="A7" s="38" t="s">
        <v>73</v>
      </c>
      <c r="B7" s="39">
        <v>16</v>
      </c>
      <c r="C7" s="39">
        <v>20</v>
      </c>
      <c r="D7" s="40">
        <f>Es!BV17</f>
        <v>1198.3333333333333</v>
      </c>
      <c r="E7" s="41">
        <f>D7/2</f>
        <v>599.16666666666663</v>
      </c>
      <c r="F7" s="41">
        <f>E7</f>
        <v>599.16666666666663</v>
      </c>
      <c r="G7" s="41">
        <f>3*E7</f>
        <v>1797.5</v>
      </c>
      <c r="H7" s="8">
        <v>0.2</v>
      </c>
      <c r="I7" s="8">
        <v>0.5</v>
      </c>
      <c r="J7" s="8">
        <v>2</v>
      </c>
      <c r="K7" s="8">
        <v>35</v>
      </c>
      <c r="L7" s="8">
        <v>5</v>
      </c>
      <c r="M7" s="8">
        <v>0.6</v>
      </c>
      <c r="N7" s="8">
        <v>0</v>
      </c>
      <c r="O7" s="8">
        <v>1</v>
      </c>
      <c r="P7" s="1"/>
    </row>
    <row r="8" spans="1:16">
      <c r="A8" s="38" t="s">
        <v>74</v>
      </c>
      <c r="B8" s="8">
        <v>17</v>
      </c>
      <c r="C8" s="39">
        <v>20</v>
      </c>
      <c r="D8" s="40">
        <f>Es!BV19</f>
        <v>4512.5</v>
      </c>
      <c r="E8" s="41">
        <f t="shared" ref="E8:E13" si="0">D8/2</f>
        <v>2256.25</v>
      </c>
      <c r="F8" s="41">
        <f>E8</f>
        <v>2256.25</v>
      </c>
      <c r="G8" s="41">
        <f>3*E8</f>
        <v>6768.75</v>
      </c>
      <c r="H8" s="8">
        <v>0.2</v>
      </c>
      <c r="I8" s="8">
        <v>0.5</v>
      </c>
      <c r="J8" s="8">
        <v>4</v>
      </c>
      <c r="K8" s="8">
        <v>40</v>
      </c>
      <c r="L8" s="8">
        <v>10</v>
      </c>
      <c r="M8" s="8">
        <v>0.6</v>
      </c>
      <c r="N8" s="8">
        <v>0</v>
      </c>
      <c r="O8" s="8">
        <v>1</v>
      </c>
      <c r="P8" s="1"/>
    </row>
    <row r="9" spans="1:16">
      <c r="A9" s="38" t="s">
        <v>75</v>
      </c>
      <c r="B9" s="39">
        <v>16</v>
      </c>
      <c r="C9" s="39">
        <v>17</v>
      </c>
      <c r="D9" s="40">
        <f>Es!BV20</f>
        <v>24879.166666666668</v>
      </c>
      <c r="E9" s="41">
        <f t="shared" si="0"/>
        <v>12439.583333333334</v>
      </c>
      <c r="F9" s="41">
        <f t="shared" ref="F9:F13" si="1">E9</f>
        <v>12439.583333333334</v>
      </c>
      <c r="G9" s="41">
        <f t="shared" ref="G9:G13" si="2">3*E9</f>
        <v>37318.75</v>
      </c>
      <c r="H9" s="8">
        <v>0.2</v>
      </c>
      <c r="I9" s="8">
        <v>0.7</v>
      </c>
      <c r="J9" s="8">
        <v>3</v>
      </c>
      <c r="K9" s="8">
        <v>32</v>
      </c>
      <c r="L9" s="8">
        <v>2</v>
      </c>
      <c r="M9" s="8">
        <v>0.6</v>
      </c>
      <c r="N9" s="8">
        <v>0</v>
      </c>
      <c r="O9" s="8">
        <v>1</v>
      </c>
      <c r="P9" s="1"/>
    </row>
    <row r="10" spans="1:16">
      <c r="A10" s="38" t="s">
        <v>76</v>
      </c>
      <c r="B10" s="39">
        <v>16</v>
      </c>
      <c r="C10" s="39">
        <v>19</v>
      </c>
      <c r="D10" s="40">
        <f>Es!BV22</f>
        <v>27615.000000000004</v>
      </c>
      <c r="E10" s="41">
        <f t="shared" si="0"/>
        <v>13807.500000000002</v>
      </c>
      <c r="F10" s="41">
        <f>E10</f>
        <v>13807.500000000002</v>
      </c>
      <c r="G10" s="41">
        <f>3*E10</f>
        <v>41422.500000000007</v>
      </c>
      <c r="H10" s="8">
        <v>0.2</v>
      </c>
      <c r="I10" s="8">
        <v>0.5</v>
      </c>
      <c r="J10" s="8">
        <v>3</v>
      </c>
      <c r="K10" s="8">
        <v>34</v>
      </c>
      <c r="L10" s="8">
        <v>4</v>
      </c>
      <c r="M10" s="8">
        <v>0.6</v>
      </c>
      <c r="N10" s="8">
        <v>0</v>
      </c>
      <c r="O10" s="8">
        <v>1</v>
      </c>
      <c r="P10" s="1"/>
    </row>
    <row r="11" spans="1:16">
      <c r="A11" s="38" t="s">
        <v>77</v>
      </c>
      <c r="B11" s="39">
        <v>16</v>
      </c>
      <c r="C11" s="39">
        <v>17</v>
      </c>
      <c r="D11" s="40">
        <f>Es!BV23</f>
        <v>47850.000000000007</v>
      </c>
      <c r="E11" s="41">
        <f t="shared" si="0"/>
        <v>23925.000000000004</v>
      </c>
      <c r="F11" s="41">
        <f>E11</f>
        <v>23925.000000000004</v>
      </c>
      <c r="G11" s="41">
        <f>3*E11</f>
        <v>71775.000000000015</v>
      </c>
      <c r="H11" s="8">
        <v>0.2</v>
      </c>
      <c r="I11" s="8">
        <v>0.7</v>
      </c>
      <c r="J11" s="8">
        <v>3</v>
      </c>
      <c r="K11" s="8">
        <v>35</v>
      </c>
      <c r="L11" s="8">
        <v>5</v>
      </c>
      <c r="M11" s="8">
        <v>0.6</v>
      </c>
      <c r="N11" s="8">
        <v>0</v>
      </c>
      <c r="O11" s="8">
        <v>1</v>
      </c>
      <c r="P11" s="1"/>
    </row>
    <row r="12" spans="1:16">
      <c r="A12" s="42" t="s">
        <v>78</v>
      </c>
      <c r="B12" s="8"/>
      <c r="C12" s="39"/>
      <c r="D12" s="40">
        <f>Es!BV17</f>
        <v>1198.3333333333333</v>
      </c>
      <c r="E12" s="41">
        <f t="shared" si="0"/>
        <v>599.16666666666663</v>
      </c>
      <c r="F12" s="41">
        <f t="shared" si="1"/>
        <v>599.16666666666663</v>
      </c>
      <c r="G12" s="41">
        <f t="shared" si="2"/>
        <v>1797.5</v>
      </c>
      <c r="H12" s="8">
        <v>0.2</v>
      </c>
      <c r="I12" s="8">
        <v>0.7</v>
      </c>
      <c r="J12" s="8">
        <v>2</v>
      </c>
      <c r="K12" s="8">
        <v>35</v>
      </c>
      <c r="L12" s="8">
        <v>5</v>
      </c>
      <c r="M12" s="8">
        <v>0.6</v>
      </c>
      <c r="N12" s="8">
        <v>0</v>
      </c>
      <c r="O12" s="8">
        <v>1</v>
      </c>
      <c r="P12" s="1"/>
    </row>
    <row r="13" spans="1:16">
      <c r="A13" s="39" t="s">
        <v>79</v>
      </c>
      <c r="B13" s="8"/>
      <c r="C13" s="39"/>
      <c r="D13" s="40">
        <v>20000</v>
      </c>
      <c r="E13" s="41">
        <f t="shared" si="0"/>
        <v>10000</v>
      </c>
      <c r="F13" s="41">
        <f t="shared" si="1"/>
        <v>10000</v>
      </c>
      <c r="G13" s="41">
        <f t="shared" si="2"/>
        <v>30000</v>
      </c>
      <c r="H13" s="8">
        <v>0.2</v>
      </c>
      <c r="I13" s="8">
        <v>1</v>
      </c>
      <c r="J13" s="8">
        <v>5</v>
      </c>
      <c r="K13" s="8">
        <v>25</v>
      </c>
      <c r="L13" s="8">
        <v>0</v>
      </c>
      <c r="M13" s="8">
        <v>0.5</v>
      </c>
      <c r="N13" s="8">
        <v>0</v>
      </c>
      <c r="O13" s="8">
        <v>1.5</v>
      </c>
      <c r="P13" s="1"/>
    </row>
    <row r="14" spans="1:1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LinesSizing</vt:lpstr>
      <vt:lpstr>Es</vt:lpstr>
      <vt:lpstr>MaterialModel</vt:lpstr>
      <vt:lpstr>LinesSizing!Print_Area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Dr Konstantinos Kostoglou</cp:lastModifiedBy>
  <cp:lastPrinted>2024-02-15T19:58:05Z</cp:lastPrinted>
  <dcterms:created xsi:type="dcterms:W3CDTF">2016-07-26T09:30:40Z</dcterms:created>
  <dcterms:modified xsi:type="dcterms:W3CDTF">2025-07-17T15:09:22Z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ae2783-b6e8-45ab-9e71-54c07b2dade0_Enabled">
    <vt:lpwstr>True</vt:lpwstr>
  </property>
  <property fmtid="{D5CDD505-2E9C-101B-9397-08002B2CF9AE}" pid="3" name="MSIP_Label_79ae2783-b6e8-45ab-9e71-54c07b2dade0_SiteId">
    <vt:lpwstr>8d088ff8-7e52-4d0f-8187-dcd9ca37815a</vt:lpwstr>
  </property>
  <property fmtid="{D5CDD505-2E9C-101B-9397-08002B2CF9AE}" pid="4" name="MSIP_Label_79ae2783-b6e8-45ab-9e71-54c07b2dade0_Owner">
    <vt:lpwstr>p008234B@parsons.com</vt:lpwstr>
  </property>
  <property fmtid="{D5CDD505-2E9C-101B-9397-08002B2CF9AE}" pid="5" name="MSIP_Label_79ae2783-b6e8-45ab-9e71-54c07b2dade0_SetDate">
    <vt:lpwstr>2019-01-01T08:21:38.0558267Z</vt:lpwstr>
  </property>
  <property fmtid="{D5CDD505-2E9C-101B-9397-08002B2CF9AE}" pid="6" name="MSIP_Label_79ae2783-b6e8-45ab-9e71-54c07b2dade0_Name">
    <vt:lpwstr>Public</vt:lpwstr>
  </property>
  <property fmtid="{D5CDD505-2E9C-101B-9397-08002B2CF9AE}" pid="7" name="MSIP_Label_79ae2783-b6e8-45ab-9e71-54c07b2dade0_Application">
    <vt:lpwstr>Microsoft Azure Information Protection</vt:lpwstr>
  </property>
  <property fmtid="{D5CDD505-2E9C-101B-9397-08002B2CF9AE}" pid="8" name="MSIP_Label_79ae2783-b6e8-45ab-9e71-54c07b2dade0_Extended_MSFT_Method">
    <vt:lpwstr>Manual</vt:lpwstr>
  </property>
  <property fmtid="{D5CDD505-2E9C-101B-9397-08002B2CF9AE}" pid="9" name="Sensitivity">
    <vt:lpwstr>Public</vt:lpwstr>
  </property>
</Properties>
</file>